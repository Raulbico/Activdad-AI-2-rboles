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ul0\Downloads\"/>
    </mc:Choice>
  </mc:AlternateContent>
  <xr:revisionPtr revIDLastSave="0" documentId="8_{6852AB7B-99A7-4E5B-8CF8-847A4F9B43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iris.data" sheetId="2" r:id="rId2"/>
    <sheet name="disc_a1" sheetId="3" r:id="rId3"/>
    <sheet name="ID3_Raiz" sheetId="4" r:id="rId4"/>
    <sheet name="ID3_Ramas" sheetId="5" r:id="rId5"/>
    <sheet name="Arbol_ID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4" l="1"/>
  <c r="E23" i="4"/>
  <c r="D23" i="4"/>
  <c r="C23" i="4"/>
  <c r="G23" i="4" s="1"/>
  <c r="F22" i="4"/>
  <c r="E22" i="4"/>
  <c r="D22" i="4"/>
  <c r="C22" i="4"/>
  <c r="H22" i="4" s="1"/>
  <c r="F21" i="4"/>
  <c r="E21" i="4"/>
  <c r="D21" i="4"/>
  <c r="G21" i="4" s="1"/>
  <c r="C21" i="4"/>
  <c r="H21" i="4" s="1"/>
  <c r="I21" i="4" s="1"/>
  <c r="F20" i="4"/>
  <c r="E20" i="4"/>
  <c r="D20" i="4"/>
  <c r="C20" i="4"/>
  <c r="G20" i="4" s="1"/>
  <c r="G19" i="4"/>
  <c r="F19" i="4"/>
  <c r="E19" i="4"/>
  <c r="D19" i="4"/>
  <c r="C19" i="4"/>
  <c r="G18" i="4"/>
  <c r="F18" i="4"/>
  <c r="E18" i="4"/>
  <c r="D18" i="4"/>
  <c r="C18" i="4"/>
  <c r="H18" i="4" s="1"/>
  <c r="I18" i="4" s="1"/>
  <c r="F17" i="4"/>
  <c r="E17" i="4"/>
  <c r="D17" i="4"/>
  <c r="C17" i="4"/>
  <c r="G17" i="4" s="1"/>
  <c r="F16" i="4"/>
  <c r="E16" i="4"/>
  <c r="D16" i="4"/>
  <c r="G16" i="4" s="1"/>
  <c r="C16" i="4"/>
  <c r="F15" i="4"/>
  <c r="E15" i="4"/>
  <c r="D15" i="4"/>
  <c r="C15" i="4"/>
  <c r="G15" i="4" s="1"/>
  <c r="F14" i="4"/>
  <c r="E14" i="4"/>
  <c r="D14" i="4"/>
  <c r="C14" i="4"/>
  <c r="H14" i="4" s="1"/>
  <c r="F13" i="4"/>
  <c r="E13" i="4"/>
  <c r="D13" i="4"/>
  <c r="G13" i="4" s="1"/>
  <c r="C13" i="4"/>
  <c r="H13" i="4" s="1"/>
  <c r="I13" i="4" s="1"/>
  <c r="F12" i="4"/>
  <c r="E12" i="4"/>
  <c r="D12" i="4"/>
  <c r="C12" i="4"/>
  <c r="G12" i="4" s="1"/>
  <c r="B7" i="4"/>
  <c r="H16" i="4" s="1"/>
  <c r="B6" i="4"/>
  <c r="B5" i="4"/>
  <c r="B4" i="4"/>
  <c r="B8" i="4" s="1"/>
  <c r="B28" i="4" l="1"/>
  <c r="B30" i="4"/>
  <c r="B27" i="4"/>
  <c r="B29" i="4"/>
  <c r="I16" i="4"/>
  <c r="H12" i="4"/>
  <c r="I12" i="4" s="1"/>
  <c r="G14" i="4"/>
  <c r="I14" i="4" s="1"/>
  <c r="H15" i="4"/>
  <c r="I15" i="4" s="1"/>
  <c r="C28" i="4" s="1"/>
  <c r="G22" i="4"/>
  <c r="I22" i="4" s="1"/>
  <c r="C30" i="4" s="1"/>
  <c r="H23" i="4"/>
  <c r="I23" i="4" s="1"/>
  <c r="H19" i="4"/>
  <c r="I19" i="4" s="1"/>
  <c r="C29" i="4" s="1"/>
  <c r="H20" i="4"/>
  <c r="I20" i="4" s="1"/>
  <c r="H17" i="4"/>
  <c r="I17" i="4" s="1"/>
  <c r="D29" i="4" l="1"/>
  <c r="D30" i="4"/>
  <c r="D28" i="4"/>
  <c r="C27" i="4"/>
  <c r="D27" i="4" s="1"/>
  <c r="B32" i="4" s="1"/>
  <c r="D32" i="4" s="1"/>
</calcChain>
</file>

<file path=xl/sharedStrings.xml><?xml version="1.0" encoding="utf-8"?>
<sst xmlns="http://schemas.openxmlformats.org/spreadsheetml/2006/main" count="1693" uniqueCount="186">
  <si>
    <t>Aplicación manual del algoritmo ID3 al conjunto de datos Iris</t>
  </si>
  <si>
    <t>Este libro usa los datos de iris.data.csv y la versión discretizada tomada como referencia de la hoja disc_a1 del archivo naive-bayes.iris.data.xlsx.</t>
  </si>
  <si>
    <t>Hoja</t>
  </si>
  <si>
    <t>Contenido</t>
  </si>
  <si>
    <t>iris.data</t>
  </si>
  <si>
    <t>Datos originales numéricos de Iris.</t>
  </si>
  <si>
    <t>disc_a1</t>
  </si>
  <si>
    <t>Datos discretizados en chico / mediano / grande para poder aplicar ID3 con atributos categóricos.</t>
  </si>
  <si>
    <t>ID3_Raiz</t>
  </si>
  <si>
    <t>Cálculo de entropía inicial, entropías por subconjunto y ganancias de información para elegir el nodo raíz.</t>
  </si>
  <si>
    <t>ID3_Ramas</t>
  </si>
  <si>
    <t>Resumen de las ramas principales después de elegir el nodo raíz petalw.</t>
  </si>
  <si>
    <t>Arbol_ID3</t>
  </si>
  <si>
    <t>Reglas finales del árbol de decisión construido con ID3.</t>
  </si>
  <si>
    <t>sepall</t>
  </si>
  <si>
    <t>sepalw</t>
  </si>
  <si>
    <t>petall</t>
  </si>
  <si>
    <t>petalw</t>
  </si>
  <si>
    <t>clase</t>
  </si>
  <si>
    <t>5.1</t>
  </si>
  <si>
    <t>3.5</t>
  </si>
  <si>
    <t>1.4</t>
  </si>
  <si>
    <t>0.2</t>
  </si>
  <si>
    <t>Iris-setosa</t>
  </si>
  <si>
    <t>4.9</t>
  </si>
  <si>
    <t>3</t>
  </si>
  <si>
    <t>4.7</t>
  </si>
  <si>
    <t>3.2</t>
  </si>
  <si>
    <t>1.3</t>
  </si>
  <si>
    <t>4.6</t>
  </si>
  <si>
    <t>3.1</t>
  </si>
  <si>
    <t>1.5</t>
  </si>
  <si>
    <t>5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</si>
  <si>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</si>
  <si>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</si>
  <si>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</si>
  <si>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</si>
  <si>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</si>
  <si>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</si>
  <si>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</si>
  <si>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</si>
  <si>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</si>
  <si>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</si>
  <si>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</si>
  <si>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</si>
  <si>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</si>
  <si>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</si>
  <si>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</si>
  <si>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</si>
  <si>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</t>
  </si>
  <si>
    <t>1.2</t>
  </si>
  <si>
    <t>5.7</t>
  </si>
  <si>
    <t>3.8</t>
  </si>
  <si>
    <t>1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</si>
  <si>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</si>
  <si>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</si>
  <si>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</si>
  <si>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</si>
  <si>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</si>
  <si>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</si>
  <si>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</si>
  <si>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</si>
  <si>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</si>
  <si>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</si>
  <si>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</si>
  <si>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7</t>
  </si>
  <si>
    <t>Iris-versicolor</t>
  </si>
  <si>
    <t>6.4</t>
  </si>
  <si>
    <t>6.9</t>
  </si>
  <si>
    <t>6.5</t>
  </si>
  <si>
    <t>2.8</t>
  </si>
  <si>
    <t>6.3</t>
  </si>
  <si>
    <t>2.4</t>
  </si>
  <si>
    <t>6.6</t>
  </si>
  <si>
    <t>2.7</t>
  </si>
  <si>
    <t>2</t>
  </si>
  <si>
    <t>5.9</t>
  </si>
  <si>
    <t>6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</si>
  <si>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</si>
  <si>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</si>
  <si>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</si>
  <si>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</si>
  <si>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</si>
  <si>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</si>
  <si>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</si>
  <si>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</si>
  <si>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</si>
  <si>
    <t>Iris-virginica</t>
  </si>
  <si>
    <t>7.1</t>
  </si>
  <si>
    <t>2.1</t>
  </si>
  <si>
    <t>7.6</t>
  </si>
  <si>
    <t>7.3</t>
  </si>
  <si>
    <t>7.2</t>
  </si>
  <si>
    <t>7.7</t>
  </si>
  <si>
    <t>7.4</t>
  </si>
  <si>
    <t>7.9</t>
  </si>
  <si>
    <t>id</t>
  </si>
  <si>
    <t>chico</t>
  </si>
  <si>
    <t>grande</t>
  </si>
  <si>
    <t>mediano</t>
  </si>
  <si>
    <t>Paso 1: entropía inicial y ganancia de información para elegir el nodo raíz</t>
  </si>
  <si>
    <t>Clase</t>
  </si>
  <si>
    <t>Conteo</t>
  </si>
  <si>
    <t>Total</t>
  </si>
  <si>
    <t>Entropía(S)</t>
  </si>
  <si>
    <t>Nodo raíz elegido</t>
  </si>
  <si>
    <t>Atributo</t>
  </si>
  <si>
    <t>Valor</t>
  </si>
  <si>
    <t>Total Sv</t>
  </si>
  <si>
    <t>Setosa</t>
  </si>
  <si>
    <t>Virginica</t>
  </si>
  <si>
    <t>Versicolor</t>
  </si>
  <si>
    <t>Entropía(Sv)</t>
  </si>
  <si>
    <t>Peso |Sv|/|S|</t>
  </si>
  <si>
    <t>Peso*Entropía</t>
  </si>
  <si>
    <t>Suma ponderada</t>
  </si>
  <si>
    <t>Gain(S,A)</t>
  </si>
  <si>
    <t>Mayor ganancia</t>
  </si>
  <si>
    <t>Nodo raíz</t>
  </si>
  <si>
    <t>Paso 2: resumen de ramas principales del árbol ID3</t>
  </si>
  <si>
    <t>Rama/Subrama</t>
  </si>
  <si>
    <t>n</t>
  </si>
  <si>
    <t>Conteos por clase</t>
  </si>
  <si>
    <t>Tipo</t>
  </si>
  <si>
    <t>Atributo / Clase elegida</t>
  </si>
  <si>
    <t>Entropía base</t>
  </si>
  <si>
    <t>Ganancia</t>
  </si>
  <si>
    <t>petalw=chico</t>
  </si>
  <si>
    <t>setosa=50</t>
  </si>
  <si>
    <t>HOJA</t>
  </si>
  <si>
    <t>petalw=mediano</t>
  </si>
  <si>
    <t>versicolor=45, virginica=3</t>
  </si>
  <si>
    <t>DIVIDIR</t>
  </si>
  <si>
    <t>Gain(sepall)</t>
  </si>
  <si>
    <t>Gain(sepalw)</t>
  </si>
  <si>
    <t>Gain(petall)</t>
  </si>
  <si>
    <t>petall=chico</t>
  </si>
  <si>
    <t>versicolor=1</t>
  </si>
  <si>
    <t>Hoja Iris-versicolor</t>
  </si>
  <si>
    <t>petall=mediano</t>
  </si>
  <si>
    <t>versicolor=42</t>
  </si>
  <si>
    <t>petall=grande</t>
  </si>
  <si>
    <t>versicolor=2, virginica=3</t>
  </si>
  <si>
    <t>Continuar / mayoría</t>
  </si>
  <si>
    <t>petalw=grande</t>
  </si>
  <si>
    <t>virginica=47, versicolor=5</t>
  </si>
  <si>
    <t>virginica=3, versicolor=3</t>
  </si>
  <si>
    <t>virginica=44, versicolor=2</t>
  </si>
  <si>
    <t>Árbol de decisión ID3 obtenido para Iris discretizado</t>
  </si>
  <si>
    <t>Condición</t>
  </si>
  <si>
    <t>Clase predicha</t>
  </si>
  <si>
    <t>Distribución de clases</t>
  </si>
  <si>
    <t>petalw = chico</t>
  </si>
  <si>
    <t>petalw = mediano Y petall = chico</t>
  </si>
  <si>
    <t>petalw = mediano Y petall = mediano</t>
  </si>
  <si>
    <t>petalw = mediano Y petall = grande Y sepall = mediano</t>
  </si>
  <si>
    <t>virginica=2</t>
  </si>
  <si>
    <t>petalw = mediano Y petall = grande Y sepall = grande Y sepalw = chico</t>
  </si>
  <si>
    <t>versicolor=1, virginica=1</t>
  </si>
  <si>
    <t>petalw = mediano Y petall = grande Y sepall = grande Y sepalw = mediano</t>
  </si>
  <si>
    <t>petalw = grande Y petall = mediano Y sepalw = chico</t>
  </si>
  <si>
    <t>petalw = grande Y petall = mediano Y sepalw = mediano Y sepall = mediano</t>
  </si>
  <si>
    <t>petalw = grande Y petall = mediano Y sepalw = grande</t>
  </si>
  <si>
    <t>versicolor=2</t>
  </si>
  <si>
    <t>petalw = grande Y petall = grande Y sepall = mediano Y sepalw = chico</t>
  </si>
  <si>
    <t>versicolor=1, virginica=5</t>
  </si>
  <si>
    <t>petalw = grande Y petall = grande Y sepall = mediano Y sepalw = mediano</t>
  </si>
  <si>
    <t>petalw = grande Y petall = grande Y sepall = mediano Y sepalw = grande</t>
  </si>
  <si>
    <t>virginica=1</t>
  </si>
  <si>
    <t>petalw = grande Y petall = grande Y sepall = grande Y sepalw = chico</t>
  </si>
  <si>
    <t>virginica=11</t>
  </si>
  <si>
    <t>petalw = grande Y petall = grande Y sepall = grande Y sepalw = mediano</t>
  </si>
  <si>
    <t>versicolor=1, virginica=18</t>
  </si>
  <si>
    <t>petalw = grande Y petall = grande Y sepall = grande Y sepalw = grande</t>
  </si>
  <si>
    <t>virginica=7</t>
  </si>
  <si>
    <t>Representación compacta</t>
  </si>
  <si>
    <t>Vista de árbol simplificada</t>
  </si>
  <si>
    <t>├─ chico → Iris-setosa</t>
  </si>
  <si>
    <t>├─ mediano → petall</t>
  </si>
  <si>
    <t>│  ├─ chico → Iris-versicolor</t>
  </si>
  <si>
    <t>│  ├─ mediano → Iris-versicolor</t>
  </si>
  <si>
    <t>│  └─ grande → sepall / sepalw</t>
  </si>
  <si>
    <t>└─ grande → petall</t>
  </si>
  <si>
    <t>├─ mediano → sepalw</t>
  </si>
  <si>
    <t>└─ grande → sepall / sepalw</t>
  </si>
  <si>
    <t>Nota: cuando un nodo ya no queda completamente puro y no hay más atributos útiles, se toma la clase mayoritaria del subconjunto.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</si>
</sst>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/>
    <xf numFmtId="164" fontId="0" fillId="0" borderId="0" xfId="0" applyNumberFormat="1"/>
    <xf numFmtId="164" fontId="4" fillId="6" borderId="0" xfId="0" applyNumberFormat="1" applyFont="1" applyFill="1"/>
    <xf numFmtId="164" fontId="3" fillId="4" borderId="0" xfId="0" applyNumberFormat="1" applyFont="1" applyFill="1" applyAlignment="1">
      <alignment horizontal="center" vertical="center" wrapText="1"/>
    </xf>
    <xf numFmtId="0" fontId="4" fillId="7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  <xf numFmtId="164" fontId="0" fillId="0" borderId="0" xfId="0" applyNumberFormat="1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8" borderId="0" xfId="0" applyFon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risOriginal" displayName="IrisOriginal" ref="A1:E151">
  <tableColumns count="5">
    <tableColumn id="1" xr3:uid="{00000000-0010-0000-0000-000001000000}" name="sepall"/>
    <tableColumn id="2" xr3:uid="{00000000-0010-0000-0000-000002000000}" name="sepalw"/>
    <tableColumn id="3" xr3:uid="{00000000-0010-0000-0000-000003000000}" name="petall"/>
    <tableColumn id="4" xr3:uid="{00000000-0010-0000-0000-000004000000}" name="petalw"/>
    <tableColumn id="5" xr3:uid="{00000000-0010-0000-0000-000005000000}" name="cl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risDiscretizado" displayName="IrisDiscretizado" ref="A1:F151">
  <tableColumns count="6">
    <tableColumn id="1" xr3:uid="{00000000-0010-0000-0100-000001000000}" name="id"/>
    <tableColumn id="2" xr3:uid="{00000000-0010-0000-0100-000002000000}" name="sepall"/>
    <tableColumn id="3" xr3:uid="{00000000-0010-0000-0100-000003000000}" name="sepalw"/>
    <tableColumn id="4" xr3:uid="{00000000-0010-0000-0100-000004000000}" name="petall"/>
    <tableColumn id="5" xr3:uid="{00000000-0010-0000-0100-000005000000}" name="petalw"/>
    <tableColumn id="6" xr3:uid="{00000000-0010-0000-0100-000006000000}" name="cl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0" sqref="H10"/>
    </sheetView>
  </sheetViews>
  <sheetFormatPr baseColWidth="10" defaultColWidth="8.796875" defaultRowHeight="13.8"/>
  <cols>
    <col min="1" max="2" width="35" customWidth="1"/>
  </cols>
  <sheetData>
    <row r="1" spans="1:8" ht="22.35" customHeight="1">
      <c r="A1" s="16" t="s">
        <v>0</v>
      </c>
      <c r="B1" s="17"/>
      <c r="C1" s="17"/>
      <c r="D1" s="17"/>
      <c r="E1" s="17"/>
      <c r="F1" s="17"/>
      <c r="G1" s="17"/>
      <c r="H1" s="17"/>
    </row>
    <row r="3" spans="1:8" ht="14.4">
      <c r="A3" s="11" t="s">
        <v>1</v>
      </c>
      <c r="B3" s="10"/>
      <c r="C3" s="10"/>
      <c r="D3" s="10"/>
      <c r="E3" s="10"/>
      <c r="F3" s="10"/>
      <c r="G3" s="10"/>
      <c r="H3" s="10"/>
    </row>
    <row r="5" spans="1:8">
      <c r="A5" s="1" t="s">
        <v>2</v>
      </c>
      <c r="B5" s="1" t="s">
        <v>3</v>
      </c>
    </row>
    <row r="6" spans="1:8">
      <c r="A6" s="15" t="s">
        <v>4</v>
      </c>
      <c r="B6" s="15" t="s">
        <v>5</v>
      </c>
    </row>
    <row r="7" spans="1:8" ht="41.4">
      <c r="A7" s="15" t="s">
        <v>6</v>
      </c>
      <c r="B7" s="15" t="s">
        <v>7</v>
      </c>
    </row>
    <row r="8" spans="1:8" ht="41.4">
      <c r="A8" s="15" t="s">
        <v>8</v>
      </c>
      <c r="B8" s="15" t="s">
        <v>9</v>
      </c>
    </row>
    <row r="9" spans="1:8" ht="27.6">
      <c r="A9" s="15" t="s">
        <v>10</v>
      </c>
      <c r="B9" s="15" t="s">
        <v>11</v>
      </c>
    </row>
    <row r="10" spans="1:8" ht="27.6">
      <c r="A10" s="15" t="s">
        <v>12</v>
      </c>
      <c r="B10" s="15" t="s">
        <v>13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workbookViewId="0"/>
  </sheetViews>
  <sheetFormatPr baseColWidth="10" defaultColWidth="8.796875" defaultRowHeight="13.8"/>
  <cols>
    <col min="1" max="5" width="16" customWidth="1"/>
  </cols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5">
      <c r="A3" t="s">
        <v>24</v>
      </c>
      <c r="B3" t="s">
        <v>25</v>
      </c>
      <c r="C3" t="s">
        <v>21</v>
      </c>
      <c r="D3" t="s">
        <v>22</v>
      </c>
      <c r="E3" t="s">
        <v>23</v>
      </c>
    </row>
    <row r="4" spans="1:5">
      <c r="A4" t="s">
        <v>26</v>
      </c>
      <c r="B4" t="s">
        <v>27</v>
      </c>
      <c r="C4" t="s">
        <v>28</v>
      </c>
      <c r="D4" t="s">
        <v>22</v>
      </c>
      <c r="E4" t="s">
        <v>23</v>
      </c>
    </row>
    <row r="5" spans="1:5">
      <c r="A5" t="s">
        <v>29</v>
      </c>
      <c r="B5" t="s">
        <v>30</v>
      </c>
      <c r="C5" t="s">
        <v>31</v>
      </c>
      <c r="D5" t="s">
        <v>22</v>
      </c>
      <c r="E5" t="s">
        <v>23</v>
      </c>
    </row>
    <row r="6" spans="1:5">
      <c r="A6" t="s">
        <v>32</v>
      </c>
      <c r="B6" t="s">
        <v>33</v>
      </c>
      <c r="C6" t="s">
        <v>21</v>
      </c>
      <c r="D6" t="s">
        <v>22</v>
      </c>
      <c r="E6" t="s">
        <v>23</v>
      </c>
    </row>
    <row r="7" spans="1:5">
      <c r="A7" t="s">
        <v>34</v>
      </c>
      <c r="B7" t="s">
        <v>35</v>
      </c>
      <c r="C7" t="s">
        <v>36</v>
      </c>
      <c r="D7" t="s">
        <v>37</v>
      </c>
      <c r="E7" t="s">
        <v>23</v>
      </c>
    </row>
    <row r="8" spans="1:5">
      <c r="A8" t="s">
        <v>29</v>
      </c>
      <c r="B8" t="s">
        <v>38</v>
      </c>
      <c r="C8" t="s">
        <v>21</v>
      </c>
      <c r="D8" t="s">
        <v>39</v>
      </c>
      <c r="E8" t="s">
        <v>23</v>
      </c>
    </row>
    <row r="9" spans="1:5">
      <c r="A9" t="s">
        <v>32</v>
      </c>
      <c r="B9" t="s">
        <v>38</v>
      </c>
      <c r="C9" t="s">
        <v>31</v>
      </c>
      <c r="D9" t="s">
        <v>22</v>
      </c>
      <c r="E9" t="s">
        <v>23</v>
      </c>
    </row>
    <row r="10" spans="1:5">
      <c r="A10" t="s">
        <v>40</v>
      </c>
      <c r="B10" t="s">
        <v>41</v>
      </c>
      <c r="C10" t="s">
        <v>21</v>
      </c>
      <c r="D10" t="s">
        <v>22</v>
      </c>
      <c r="E10" t="s">
        <v>23</v>
      </c>
    </row>
    <row r="11" spans="1:5">
      <c r="A11" t="s">
        <v>24</v>
      </c>
      <c r="B11" t="s">
        <v>30</v>
      </c>
      <c r="C11" t="s">
        <v>31</v>
      </c>
      <c r="D11" t="s">
        <v>42</v>
      </c>
      <c r="E11" t="s">
        <v>23</v>
      </c>
    </row>
    <row r="12" spans="1:5">
      <c r="A12" t="s">
        <v>34</v>
      </c>
      <c r="B12" t="s">
        <v>43</v>
      </c>
      <c r="C12" t="s">
        <v>31</v>
      </c>
      <c r="D12" t="s">
        <v>22</v>
      </c>
      <c r="E12" t="s">
        <v>23</v>
      </c>
    </row>
    <row r="13" spans="1:5">
      <c r="A13" t="s">
        <v>44</v>
      </c>
      <c r="B13" t="s">
        <v>38</v>
      </c>
      <c r="C13" t="s">
        <v>45</v>
      </c>
      <c r="D13" t="s">
        <v>22</v>
      </c>
      <c r="E13" t="s">
        <v>23</v>
      </c>
    </row>
    <row r="14" spans="1:5">
      <c r="A14" t="s">
        <v>44</v>
      </c>
      <c r="B14" t="s">
        <v>25</v>
      </c>
      <c r="C14" t="s">
        <v>21</v>
      </c>
      <c r="D14" t="s">
        <v>42</v>
      </c>
      <c r="E14" t="s">
        <v>23</v>
      </c>
    </row>
    <row r="15" spans="1:5">
      <c r="A15" t="s">
        <v>46</v>
      </c>
      <c r="B15" t="s">
        <v>25</v>
      </c>
      <c r="C15" t="s">
        <v>47</v>
      </c>
      <c r="D15" t="s">
        <v>42</v>
      </c>
      <c r="E15" t="s">
        <v>23</v>
      </c>
    </row>
    <row r="16" spans="1:5">
      <c r="A16" t="s">
        <v>48</v>
      </c>
      <c r="B16" t="s">
        <v>49</v>
      </c>
      <c r="C16" t="s">
        <v>50</v>
      </c>
      <c r="D16" t="s">
        <v>22</v>
      </c>
      <c r="E16" t="s">
        <v>23</v>
      </c>
    </row>
    <row r="17" spans="1:5">
      <c r="A17" t="s">
        <v>51</v>
      </c>
      <c r="B17" t="s">
        <v>40</v>
      </c>
      <c r="C17" t="s">
        <v>31</v>
      </c>
      <c r="D17" t="s">
        <v>37</v>
      </c>
      <c r="E17" t="s">
        <v>23</v>
      </c>
    </row>
    <row r="18" spans="1:5">
      <c r="A18" t="s">
        <v>34</v>
      </c>
      <c r="B18" t="s">
        <v>35</v>
      </c>
      <c r="C18" t="s">
        <v>28</v>
      </c>
      <c r="D18" t="s">
        <v>37</v>
      </c>
      <c r="E18" t="s">
        <v>23</v>
      </c>
    </row>
    <row r="19" spans="1:5">
      <c r="A19" t="s">
        <v>19</v>
      </c>
      <c r="B19" t="s">
        <v>20</v>
      </c>
      <c r="C19" t="s">
        <v>21</v>
      </c>
      <c r="D19" t="s">
        <v>39</v>
      </c>
      <c r="E19" t="s">
        <v>23</v>
      </c>
    </row>
    <row r="20" spans="1:5">
      <c r="A20" t="s">
        <v>51</v>
      </c>
      <c r="B20" t="s">
        <v>52</v>
      </c>
      <c r="C20" t="s">
        <v>36</v>
      </c>
      <c r="D20" t="s">
        <v>39</v>
      </c>
      <c r="E20" t="s">
        <v>23</v>
      </c>
    </row>
    <row r="21" spans="1:5">
      <c r="A21" t="s">
        <v>19</v>
      </c>
      <c r="B21" t="s">
        <v>52</v>
      </c>
      <c r="C21" t="s">
        <v>31</v>
      </c>
      <c r="D21" t="s">
        <v>39</v>
      </c>
      <c r="E21" t="s">
        <v>23</v>
      </c>
    </row>
    <row r="22" spans="1:5">
      <c r="A22" t="s">
        <v>34</v>
      </c>
      <c r="B22" t="s">
        <v>38</v>
      </c>
      <c r="C22" t="s">
        <v>36</v>
      </c>
      <c r="D22" t="s">
        <v>22</v>
      </c>
      <c r="E22" t="s">
        <v>23</v>
      </c>
    </row>
    <row r="23" spans="1:5">
      <c r="A23" t="s">
        <v>19</v>
      </c>
      <c r="B23" t="s">
        <v>43</v>
      </c>
      <c r="C23" t="s">
        <v>31</v>
      </c>
      <c r="D23" t="s">
        <v>37</v>
      </c>
      <c r="E23" t="s">
        <v>23</v>
      </c>
    </row>
    <row r="24" spans="1:5">
      <c r="A24" t="s">
        <v>29</v>
      </c>
      <c r="B24" t="s">
        <v>33</v>
      </c>
      <c r="C24" t="s">
        <v>53</v>
      </c>
      <c r="D24" t="s">
        <v>22</v>
      </c>
      <c r="E24" t="s">
        <v>23</v>
      </c>
    </row>
    <row r="25" spans="1:5">
      <c r="A25" t="s">
        <v>19</v>
      </c>
      <c r="B25" t="s">
        <v>54</v>
      </c>
      <c r="C25" t="s">
        <v>36</v>
      </c>
      <c r="D25" t="s">
        <v>55</v>
      </c>
      <c r="E25" t="s">
        <v>23</v>
      </c>
    </row>
    <row r="26" spans="1:5">
      <c r="A26" t="s">
        <v>44</v>
      </c>
      <c r="B26" t="s">
        <v>38</v>
      </c>
      <c r="C26" t="s">
        <v>56</v>
      </c>
      <c r="D26" t="s">
        <v>22</v>
      </c>
      <c r="E26" t="s">
        <v>23</v>
      </c>
    </row>
    <row r="27" spans="1:5">
      <c r="A27" t="s">
        <v>32</v>
      </c>
      <c r="B27" t="s">
        <v>25</v>
      </c>
      <c r="C27" t="s">
        <v>45</v>
      </c>
      <c r="D27" t="s">
        <v>22</v>
      </c>
      <c r="E27" t="s">
        <v>23</v>
      </c>
    </row>
    <row r="28" spans="1:5">
      <c r="A28" t="s">
        <v>32</v>
      </c>
      <c r="B28" t="s">
        <v>38</v>
      </c>
      <c r="C28" t="s">
        <v>45</v>
      </c>
      <c r="D28" t="s">
        <v>37</v>
      </c>
      <c r="E28" t="s">
        <v>23</v>
      </c>
    </row>
    <row r="29" spans="1:5">
      <c r="A29" t="s">
        <v>57</v>
      </c>
      <c r="B29" t="s">
        <v>20</v>
      </c>
      <c r="C29" t="s">
        <v>31</v>
      </c>
      <c r="D29" t="s">
        <v>22</v>
      </c>
      <c r="E29" t="s">
        <v>23</v>
      </c>
    </row>
    <row r="30" spans="1:5">
      <c r="A30" t="s">
        <v>57</v>
      </c>
      <c r="B30" t="s">
        <v>38</v>
      </c>
      <c r="C30" t="s">
        <v>21</v>
      </c>
      <c r="D30" t="s">
        <v>22</v>
      </c>
      <c r="E30" t="s">
        <v>23</v>
      </c>
    </row>
    <row r="31" spans="1:5">
      <c r="A31" t="s">
        <v>26</v>
      </c>
      <c r="B31" t="s">
        <v>27</v>
      </c>
      <c r="C31" t="s">
        <v>45</v>
      </c>
      <c r="D31" t="s">
        <v>22</v>
      </c>
      <c r="E31" t="s">
        <v>23</v>
      </c>
    </row>
    <row r="32" spans="1:5">
      <c r="A32" t="s">
        <v>44</v>
      </c>
      <c r="B32" t="s">
        <v>30</v>
      </c>
      <c r="C32" t="s">
        <v>45</v>
      </c>
      <c r="D32" t="s">
        <v>22</v>
      </c>
      <c r="E32" t="s">
        <v>23</v>
      </c>
    </row>
    <row r="33" spans="1:5">
      <c r="A33" t="s">
        <v>34</v>
      </c>
      <c r="B33" t="s">
        <v>38</v>
      </c>
      <c r="C33" t="s">
        <v>31</v>
      </c>
      <c r="D33" t="s">
        <v>37</v>
      </c>
      <c r="E33" t="s">
        <v>23</v>
      </c>
    </row>
    <row r="34" spans="1:5">
      <c r="A34" t="s">
        <v>57</v>
      </c>
      <c r="B34" t="s">
        <v>58</v>
      </c>
      <c r="C34" t="s">
        <v>31</v>
      </c>
      <c r="D34" t="s">
        <v>42</v>
      </c>
      <c r="E34" t="s">
        <v>23</v>
      </c>
    </row>
    <row r="35" spans="1:5">
      <c r="A35" t="s">
        <v>59</v>
      </c>
      <c r="B35" t="s">
        <v>60</v>
      </c>
      <c r="C35" t="s">
        <v>21</v>
      </c>
      <c r="D35" t="s">
        <v>22</v>
      </c>
      <c r="E35" t="s">
        <v>23</v>
      </c>
    </row>
    <row r="36" spans="1:5">
      <c r="A36" t="s">
        <v>24</v>
      </c>
      <c r="B36" t="s">
        <v>30</v>
      </c>
      <c r="C36" t="s">
        <v>31</v>
      </c>
      <c r="D36" t="s">
        <v>42</v>
      </c>
      <c r="E36" t="s">
        <v>23</v>
      </c>
    </row>
    <row r="37" spans="1:5">
      <c r="A37" t="s">
        <v>32</v>
      </c>
      <c r="B37" t="s">
        <v>27</v>
      </c>
      <c r="C37" t="s">
        <v>50</v>
      </c>
      <c r="D37" t="s">
        <v>22</v>
      </c>
      <c r="E37" t="s">
        <v>23</v>
      </c>
    </row>
    <row r="38" spans="1:5">
      <c r="A38" t="s">
        <v>59</v>
      </c>
      <c r="B38" t="s">
        <v>20</v>
      </c>
      <c r="C38" t="s">
        <v>28</v>
      </c>
      <c r="D38" t="s">
        <v>22</v>
      </c>
      <c r="E38" t="s">
        <v>23</v>
      </c>
    </row>
    <row r="39" spans="1:5">
      <c r="A39" t="s">
        <v>24</v>
      </c>
      <c r="B39" t="s">
        <v>30</v>
      </c>
      <c r="C39" t="s">
        <v>31</v>
      </c>
      <c r="D39" t="s">
        <v>42</v>
      </c>
      <c r="E39" t="s">
        <v>23</v>
      </c>
    </row>
    <row r="40" spans="1:5">
      <c r="A40" t="s">
        <v>40</v>
      </c>
      <c r="B40" t="s">
        <v>25</v>
      </c>
      <c r="C40" t="s">
        <v>28</v>
      </c>
      <c r="D40" t="s">
        <v>22</v>
      </c>
      <c r="E40" t="s">
        <v>23</v>
      </c>
    </row>
    <row r="41" spans="1:5">
      <c r="A41" t="s">
        <v>19</v>
      </c>
      <c r="B41" t="s">
        <v>38</v>
      </c>
      <c r="C41" t="s">
        <v>31</v>
      </c>
      <c r="D41" t="s">
        <v>22</v>
      </c>
      <c r="E41" t="s">
        <v>23</v>
      </c>
    </row>
    <row r="42" spans="1:5">
      <c r="A42" t="s">
        <v>32</v>
      </c>
      <c r="B42" t="s">
        <v>20</v>
      </c>
      <c r="C42" t="s">
        <v>28</v>
      </c>
      <c r="D42" t="s">
        <v>39</v>
      </c>
      <c r="E42" t="s">
        <v>23</v>
      </c>
    </row>
    <row r="43" spans="1:5">
      <c r="A43" t="s">
        <v>61</v>
      </c>
      <c r="B43" t="s">
        <v>62</v>
      </c>
      <c r="C43" t="s">
        <v>28</v>
      </c>
      <c r="D43" t="s">
        <v>39</v>
      </c>
      <c r="E43" t="s">
        <v>23</v>
      </c>
    </row>
    <row r="44" spans="1:5">
      <c r="A44" t="s">
        <v>40</v>
      </c>
      <c r="B44" t="s">
        <v>27</v>
      </c>
      <c r="C44" t="s">
        <v>28</v>
      </c>
      <c r="D44" t="s">
        <v>22</v>
      </c>
      <c r="E44" t="s">
        <v>23</v>
      </c>
    </row>
    <row r="45" spans="1:5">
      <c r="A45" t="s">
        <v>32</v>
      </c>
      <c r="B45" t="s">
        <v>20</v>
      </c>
      <c r="C45" t="s">
        <v>45</v>
      </c>
      <c r="D45" t="s">
        <v>63</v>
      </c>
      <c r="E45" t="s">
        <v>23</v>
      </c>
    </row>
    <row r="46" spans="1:5">
      <c r="A46" t="s">
        <v>19</v>
      </c>
      <c r="B46" t="s">
        <v>52</v>
      </c>
      <c r="C46" t="s">
        <v>56</v>
      </c>
      <c r="D46" t="s">
        <v>37</v>
      </c>
      <c r="E46" t="s">
        <v>23</v>
      </c>
    </row>
    <row r="47" spans="1:5">
      <c r="A47" t="s">
        <v>44</v>
      </c>
      <c r="B47" t="s">
        <v>25</v>
      </c>
      <c r="C47" t="s">
        <v>21</v>
      </c>
      <c r="D47" t="s">
        <v>39</v>
      </c>
      <c r="E47" t="s">
        <v>23</v>
      </c>
    </row>
    <row r="48" spans="1:5">
      <c r="A48" t="s">
        <v>19</v>
      </c>
      <c r="B48" t="s">
        <v>52</v>
      </c>
      <c r="C48" t="s">
        <v>45</v>
      </c>
      <c r="D48" t="s">
        <v>22</v>
      </c>
      <c r="E48" t="s">
        <v>23</v>
      </c>
    </row>
    <row r="49" spans="1:5">
      <c r="A49" t="s">
        <v>29</v>
      </c>
      <c r="B49" t="s">
        <v>27</v>
      </c>
      <c r="C49" t="s">
        <v>21</v>
      </c>
      <c r="D49" t="s">
        <v>22</v>
      </c>
      <c r="E49" t="s">
        <v>23</v>
      </c>
    </row>
    <row r="50" spans="1:5">
      <c r="A50" t="s">
        <v>64</v>
      </c>
      <c r="B50" t="s">
        <v>43</v>
      </c>
      <c r="C50" t="s">
        <v>31</v>
      </c>
      <c r="D50" t="s">
        <v>22</v>
      </c>
      <c r="E50" t="s">
        <v>23</v>
      </c>
    </row>
    <row r="51" spans="1:5">
      <c r="A51" t="s">
        <v>32</v>
      </c>
      <c r="B51" t="s">
        <v>54</v>
      </c>
      <c r="C51" t="s">
        <v>21</v>
      </c>
      <c r="D51" t="s">
        <v>22</v>
      </c>
      <c r="E51" t="s">
        <v>23</v>
      </c>
    </row>
    <row r="52" spans="1:5">
      <c r="A52" t="s">
        <v>65</v>
      </c>
      <c r="B52" t="s">
        <v>27</v>
      </c>
      <c r="C52" t="s">
        <v>26</v>
      </c>
      <c r="D52" t="s">
        <v>21</v>
      </c>
      <c r="E52" t="s">
        <v>66</v>
      </c>
    </row>
    <row r="53" spans="1:5">
      <c r="A53" t="s">
        <v>67</v>
      </c>
      <c r="B53" t="s">
        <v>27</v>
      </c>
      <c r="C53" t="s">
        <v>61</v>
      </c>
      <c r="D53" t="s">
        <v>31</v>
      </c>
      <c r="E53" t="s">
        <v>66</v>
      </c>
    </row>
    <row r="54" spans="1:5">
      <c r="A54" t="s">
        <v>68</v>
      </c>
      <c r="B54" t="s">
        <v>30</v>
      </c>
      <c r="C54" t="s">
        <v>24</v>
      </c>
      <c r="D54" t="s">
        <v>31</v>
      </c>
      <c r="E54" t="s">
        <v>66</v>
      </c>
    </row>
    <row r="55" spans="1:5">
      <c r="A55" t="s">
        <v>59</v>
      </c>
      <c r="B55" t="s">
        <v>62</v>
      </c>
      <c r="C55" t="s">
        <v>49</v>
      </c>
      <c r="D55" t="s">
        <v>28</v>
      </c>
      <c r="E55" t="s">
        <v>66</v>
      </c>
    </row>
    <row r="56" spans="1:5">
      <c r="A56" t="s">
        <v>69</v>
      </c>
      <c r="B56" t="s">
        <v>70</v>
      </c>
      <c r="C56" t="s">
        <v>29</v>
      </c>
      <c r="D56" t="s">
        <v>31</v>
      </c>
      <c r="E56" t="s">
        <v>66</v>
      </c>
    </row>
    <row r="57" spans="1:5">
      <c r="A57" t="s">
        <v>51</v>
      </c>
      <c r="B57" t="s">
        <v>70</v>
      </c>
      <c r="C57" t="s">
        <v>61</v>
      </c>
      <c r="D57" t="s">
        <v>28</v>
      </c>
      <c r="E57" t="s">
        <v>66</v>
      </c>
    </row>
    <row r="58" spans="1:5">
      <c r="A58" t="s">
        <v>71</v>
      </c>
      <c r="B58" t="s">
        <v>54</v>
      </c>
      <c r="C58" t="s">
        <v>26</v>
      </c>
      <c r="D58" t="s">
        <v>45</v>
      </c>
      <c r="E58" t="s">
        <v>66</v>
      </c>
    </row>
    <row r="59" spans="1:5">
      <c r="A59" t="s">
        <v>24</v>
      </c>
      <c r="B59" t="s">
        <v>72</v>
      </c>
      <c r="C59" t="s">
        <v>54</v>
      </c>
      <c r="D59" t="s">
        <v>53</v>
      </c>
      <c r="E59" t="s">
        <v>66</v>
      </c>
    </row>
    <row r="60" spans="1:5">
      <c r="A60" t="s">
        <v>73</v>
      </c>
      <c r="B60" t="s">
        <v>41</v>
      </c>
      <c r="C60" t="s">
        <v>29</v>
      </c>
      <c r="D60" t="s">
        <v>28</v>
      </c>
      <c r="E60" t="s">
        <v>66</v>
      </c>
    </row>
    <row r="61" spans="1:5">
      <c r="A61" t="s">
        <v>57</v>
      </c>
      <c r="B61" t="s">
        <v>74</v>
      </c>
      <c r="C61" t="s">
        <v>35</v>
      </c>
      <c r="D61" t="s">
        <v>21</v>
      </c>
      <c r="E61" t="s">
        <v>66</v>
      </c>
    </row>
    <row r="62" spans="1:5">
      <c r="A62" t="s">
        <v>32</v>
      </c>
      <c r="B62" t="s">
        <v>75</v>
      </c>
      <c r="C62" t="s">
        <v>20</v>
      </c>
      <c r="D62" t="s">
        <v>53</v>
      </c>
      <c r="E62" t="s">
        <v>66</v>
      </c>
    </row>
    <row r="63" spans="1:5">
      <c r="A63" t="s">
        <v>76</v>
      </c>
      <c r="B63" t="s">
        <v>25</v>
      </c>
      <c r="C63" t="s">
        <v>60</v>
      </c>
      <c r="D63" t="s">
        <v>31</v>
      </c>
      <c r="E63" t="s">
        <v>66</v>
      </c>
    </row>
    <row r="64" spans="1:5">
      <c r="A64" t="s">
        <v>77</v>
      </c>
      <c r="B64" t="s">
        <v>78</v>
      </c>
      <c r="C64" t="s">
        <v>49</v>
      </c>
      <c r="D64" t="s">
        <v>53</v>
      </c>
      <c r="E64" t="s">
        <v>66</v>
      </c>
    </row>
    <row r="65" spans="1:5">
      <c r="A65" t="s">
        <v>79</v>
      </c>
      <c r="B65" t="s">
        <v>41</v>
      </c>
      <c r="C65" t="s">
        <v>26</v>
      </c>
      <c r="D65" t="s">
        <v>21</v>
      </c>
      <c r="E65" t="s">
        <v>66</v>
      </c>
    </row>
    <row r="66" spans="1:5">
      <c r="A66" t="s">
        <v>80</v>
      </c>
      <c r="B66" t="s">
        <v>41</v>
      </c>
      <c r="C66" t="s">
        <v>33</v>
      </c>
      <c r="D66" t="s">
        <v>28</v>
      </c>
      <c r="E66" t="s">
        <v>66</v>
      </c>
    </row>
    <row r="67" spans="1:5">
      <c r="A67" t="s">
        <v>81</v>
      </c>
      <c r="B67" t="s">
        <v>30</v>
      </c>
      <c r="C67" t="s">
        <v>40</v>
      </c>
      <c r="D67" t="s">
        <v>21</v>
      </c>
      <c r="E67" t="s">
        <v>66</v>
      </c>
    </row>
    <row r="68" spans="1:5">
      <c r="A68" t="s">
        <v>80</v>
      </c>
      <c r="B68" t="s">
        <v>25</v>
      </c>
      <c r="C68" t="s">
        <v>61</v>
      </c>
      <c r="D68" t="s">
        <v>31</v>
      </c>
      <c r="E68" t="s">
        <v>66</v>
      </c>
    </row>
    <row r="69" spans="1:5">
      <c r="A69" t="s">
        <v>48</v>
      </c>
      <c r="B69" t="s">
        <v>74</v>
      </c>
      <c r="C69" t="s">
        <v>58</v>
      </c>
      <c r="D69" t="s">
        <v>53</v>
      </c>
      <c r="E69" t="s">
        <v>66</v>
      </c>
    </row>
    <row r="70" spans="1:5">
      <c r="A70" t="s">
        <v>82</v>
      </c>
      <c r="B70" t="s">
        <v>78</v>
      </c>
      <c r="C70" t="s">
        <v>61</v>
      </c>
      <c r="D70" t="s">
        <v>31</v>
      </c>
      <c r="E70" t="s">
        <v>66</v>
      </c>
    </row>
    <row r="71" spans="1:5">
      <c r="A71" t="s">
        <v>80</v>
      </c>
      <c r="B71" t="s">
        <v>83</v>
      </c>
      <c r="C71" t="s">
        <v>35</v>
      </c>
      <c r="D71" t="s">
        <v>47</v>
      </c>
      <c r="E71" t="s">
        <v>66</v>
      </c>
    </row>
    <row r="72" spans="1:5">
      <c r="A72" t="s">
        <v>76</v>
      </c>
      <c r="B72" t="s">
        <v>27</v>
      </c>
      <c r="C72" t="s">
        <v>44</v>
      </c>
      <c r="D72" t="s">
        <v>84</v>
      </c>
      <c r="E72" t="s">
        <v>66</v>
      </c>
    </row>
    <row r="73" spans="1:5">
      <c r="A73" t="s">
        <v>79</v>
      </c>
      <c r="B73" t="s">
        <v>70</v>
      </c>
      <c r="C73" t="s">
        <v>49</v>
      </c>
      <c r="D73" t="s">
        <v>28</v>
      </c>
      <c r="E73" t="s">
        <v>66</v>
      </c>
    </row>
    <row r="74" spans="1:5">
      <c r="A74" t="s">
        <v>71</v>
      </c>
      <c r="B74" t="s">
        <v>83</v>
      </c>
      <c r="C74" t="s">
        <v>24</v>
      </c>
      <c r="D74" t="s">
        <v>31</v>
      </c>
      <c r="E74" t="s">
        <v>66</v>
      </c>
    </row>
    <row r="75" spans="1:5">
      <c r="A75" t="s">
        <v>79</v>
      </c>
      <c r="B75" t="s">
        <v>70</v>
      </c>
      <c r="C75" t="s">
        <v>26</v>
      </c>
      <c r="D75" t="s">
        <v>50</v>
      </c>
      <c r="E75" t="s">
        <v>66</v>
      </c>
    </row>
    <row r="76" spans="1:5">
      <c r="A76" t="s">
        <v>67</v>
      </c>
      <c r="B76" t="s">
        <v>41</v>
      </c>
      <c r="C76" t="s">
        <v>46</v>
      </c>
      <c r="D76" t="s">
        <v>28</v>
      </c>
      <c r="E76" t="s">
        <v>66</v>
      </c>
    </row>
    <row r="77" spans="1:5">
      <c r="A77" t="s">
        <v>73</v>
      </c>
      <c r="B77" t="s">
        <v>25</v>
      </c>
      <c r="C77" t="s">
        <v>40</v>
      </c>
      <c r="D77" t="s">
        <v>21</v>
      </c>
      <c r="E77" t="s">
        <v>66</v>
      </c>
    </row>
    <row r="78" spans="1:5">
      <c r="A78" t="s">
        <v>85</v>
      </c>
      <c r="B78" t="s">
        <v>70</v>
      </c>
      <c r="C78" t="s">
        <v>44</v>
      </c>
      <c r="D78" t="s">
        <v>21</v>
      </c>
      <c r="E78" t="s">
        <v>66</v>
      </c>
    </row>
    <row r="79" spans="1:5">
      <c r="A79" t="s">
        <v>81</v>
      </c>
      <c r="B79" t="s">
        <v>25</v>
      </c>
      <c r="C79" t="s">
        <v>32</v>
      </c>
      <c r="D79" t="s">
        <v>36</v>
      </c>
      <c r="E79" t="s">
        <v>66</v>
      </c>
    </row>
    <row r="80" spans="1:5">
      <c r="A80" t="s">
        <v>77</v>
      </c>
      <c r="B80" t="s">
        <v>41</v>
      </c>
      <c r="C80" t="s">
        <v>61</v>
      </c>
      <c r="D80" t="s">
        <v>31</v>
      </c>
      <c r="E80" t="s">
        <v>66</v>
      </c>
    </row>
    <row r="81" spans="1:5">
      <c r="A81" t="s">
        <v>51</v>
      </c>
      <c r="B81" t="s">
        <v>86</v>
      </c>
      <c r="C81" t="s">
        <v>20</v>
      </c>
      <c r="D81" t="s">
        <v>53</v>
      </c>
      <c r="E81" t="s">
        <v>66</v>
      </c>
    </row>
    <row r="82" spans="1:5">
      <c r="A82" t="s">
        <v>59</v>
      </c>
      <c r="B82" t="s">
        <v>72</v>
      </c>
      <c r="C82" t="s">
        <v>52</v>
      </c>
      <c r="D82" t="s">
        <v>47</v>
      </c>
      <c r="E82" t="s">
        <v>66</v>
      </c>
    </row>
    <row r="83" spans="1:5">
      <c r="A83" t="s">
        <v>59</v>
      </c>
      <c r="B83" t="s">
        <v>72</v>
      </c>
      <c r="C83" t="s">
        <v>43</v>
      </c>
      <c r="D83" t="s">
        <v>53</v>
      </c>
      <c r="E83" t="s">
        <v>66</v>
      </c>
    </row>
    <row r="84" spans="1:5">
      <c r="A84" t="s">
        <v>48</v>
      </c>
      <c r="B84" t="s">
        <v>74</v>
      </c>
      <c r="C84" t="s">
        <v>35</v>
      </c>
      <c r="D84" t="s">
        <v>50</v>
      </c>
      <c r="E84" t="s">
        <v>66</v>
      </c>
    </row>
    <row r="85" spans="1:5">
      <c r="A85" t="s">
        <v>77</v>
      </c>
      <c r="B85" t="s">
        <v>74</v>
      </c>
      <c r="C85" t="s">
        <v>19</v>
      </c>
      <c r="D85" t="s">
        <v>45</v>
      </c>
      <c r="E85" t="s">
        <v>66</v>
      </c>
    </row>
    <row r="86" spans="1:5">
      <c r="A86" t="s">
        <v>34</v>
      </c>
      <c r="B86" t="s">
        <v>25</v>
      </c>
      <c r="C86" t="s">
        <v>61</v>
      </c>
      <c r="D86" t="s">
        <v>31</v>
      </c>
      <c r="E86" t="s">
        <v>66</v>
      </c>
    </row>
    <row r="87" spans="1:5">
      <c r="A87" t="s">
        <v>77</v>
      </c>
      <c r="B87" t="s">
        <v>38</v>
      </c>
      <c r="C87" t="s">
        <v>61</v>
      </c>
      <c r="D87" t="s">
        <v>45</v>
      </c>
      <c r="E87" t="s">
        <v>66</v>
      </c>
    </row>
    <row r="88" spans="1:5">
      <c r="A88" t="s">
        <v>81</v>
      </c>
      <c r="B88" t="s">
        <v>30</v>
      </c>
      <c r="C88" t="s">
        <v>26</v>
      </c>
      <c r="D88" t="s">
        <v>31</v>
      </c>
      <c r="E88" t="s">
        <v>66</v>
      </c>
    </row>
    <row r="89" spans="1:5">
      <c r="A89" t="s">
        <v>71</v>
      </c>
      <c r="B89" t="s">
        <v>62</v>
      </c>
      <c r="C89" t="s">
        <v>40</v>
      </c>
      <c r="D89" t="s">
        <v>28</v>
      </c>
      <c r="E89" t="s">
        <v>66</v>
      </c>
    </row>
    <row r="90" spans="1:5">
      <c r="A90" t="s">
        <v>80</v>
      </c>
      <c r="B90" t="s">
        <v>25</v>
      </c>
      <c r="C90" t="s">
        <v>58</v>
      </c>
      <c r="D90" t="s">
        <v>28</v>
      </c>
      <c r="E90" t="s">
        <v>66</v>
      </c>
    </row>
    <row r="91" spans="1:5">
      <c r="A91" t="s">
        <v>59</v>
      </c>
      <c r="B91" t="s">
        <v>83</v>
      </c>
      <c r="C91" t="s">
        <v>49</v>
      </c>
      <c r="D91" t="s">
        <v>28</v>
      </c>
      <c r="E91" t="s">
        <v>66</v>
      </c>
    </row>
    <row r="92" spans="1:5">
      <c r="A92" t="s">
        <v>59</v>
      </c>
      <c r="B92" t="s">
        <v>86</v>
      </c>
      <c r="C92" t="s">
        <v>40</v>
      </c>
      <c r="D92" t="s">
        <v>50</v>
      </c>
      <c r="E92" t="s">
        <v>66</v>
      </c>
    </row>
    <row r="93" spans="1:5">
      <c r="A93" t="s">
        <v>79</v>
      </c>
      <c r="B93" t="s">
        <v>25</v>
      </c>
      <c r="C93" t="s">
        <v>29</v>
      </c>
      <c r="D93" t="s">
        <v>21</v>
      </c>
      <c r="E93" t="s">
        <v>66</v>
      </c>
    </row>
    <row r="94" spans="1:5">
      <c r="A94" t="s">
        <v>48</v>
      </c>
      <c r="B94" t="s">
        <v>86</v>
      </c>
      <c r="C94" t="s">
        <v>49</v>
      </c>
      <c r="D94" t="s">
        <v>50</v>
      </c>
      <c r="E94" t="s">
        <v>66</v>
      </c>
    </row>
    <row r="95" spans="1:5">
      <c r="A95" t="s">
        <v>32</v>
      </c>
      <c r="B95" t="s">
        <v>62</v>
      </c>
      <c r="C95" t="s">
        <v>54</v>
      </c>
      <c r="D95" t="s">
        <v>53</v>
      </c>
      <c r="E95" t="s">
        <v>66</v>
      </c>
    </row>
    <row r="96" spans="1:5">
      <c r="A96" t="s">
        <v>80</v>
      </c>
      <c r="B96" t="s">
        <v>74</v>
      </c>
      <c r="C96" t="s">
        <v>60</v>
      </c>
      <c r="D96" t="s">
        <v>28</v>
      </c>
      <c r="E96" t="s">
        <v>66</v>
      </c>
    </row>
    <row r="97" spans="1:5">
      <c r="A97" t="s">
        <v>51</v>
      </c>
      <c r="B97" t="s">
        <v>25</v>
      </c>
      <c r="C97" t="s">
        <v>60</v>
      </c>
      <c r="D97" t="s">
        <v>50</v>
      </c>
      <c r="E97" t="s">
        <v>66</v>
      </c>
    </row>
    <row r="98" spans="1:5">
      <c r="A98" t="s">
        <v>51</v>
      </c>
      <c r="B98" t="s">
        <v>41</v>
      </c>
      <c r="C98" t="s">
        <v>60</v>
      </c>
      <c r="D98" t="s">
        <v>28</v>
      </c>
      <c r="E98" t="s">
        <v>66</v>
      </c>
    </row>
    <row r="99" spans="1:5">
      <c r="A99" t="s">
        <v>82</v>
      </c>
      <c r="B99" t="s">
        <v>41</v>
      </c>
      <c r="C99" t="s">
        <v>46</v>
      </c>
      <c r="D99" t="s">
        <v>28</v>
      </c>
      <c r="E99" t="s">
        <v>66</v>
      </c>
    </row>
    <row r="100" spans="1:5">
      <c r="A100" t="s">
        <v>19</v>
      </c>
      <c r="B100" t="s">
        <v>83</v>
      </c>
      <c r="C100" t="s">
        <v>25</v>
      </c>
      <c r="D100" t="s">
        <v>47</v>
      </c>
      <c r="E100" t="s">
        <v>66</v>
      </c>
    </row>
    <row r="101" spans="1:5">
      <c r="A101" t="s">
        <v>51</v>
      </c>
      <c r="B101" t="s">
        <v>70</v>
      </c>
      <c r="C101" t="s">
        <v>58</v>
      </c>
      <c r="D101" t="s">
        <v>28</v>
      </c>
      <c r="E101" t="s">
        <v>66</v>
      </c>
    </row>
    <row r="102" spans="1:5">
      <c r="A102" t="s">
        <v>71</v>
      </c>
      <c r="B102" t="s">
        <v>54</v>
      </c>
      <c r="C102" t="s">
        <v>77</v>
      </c>
      <c r="D102" t="s">
        <v>83</v>
      </c>
      <c r="E102" t="s">
        <v>87</v>
      </c>
    </row>
    <row r="103" spans="1:5">
      <c r="A103" t="s">
        <v>48</v>
      </c>
      <c r="B103" t="s">
        <v>74</v>
      </c>
      <c r="C103" t="s">
        <v>19</v>
      </c>
      <c r="D103" t="s">
        <v>56</v>
      </c>
      <c r="E103" t="s">
        <v>87</v>
      </c>
    </row>
    <row r="104" spans="1:5">
      <c r="A104" t="s">
        <v>88</v>
      </c>
      <c r="B104" t="s">
        <v>25</v>
      </c>
      <c r="C104" t="s">
        <v>76</v>
      </c>
      <c r="D104" t="s">
        <v>89</v>
      </c>
      <c r="E104" t="s">
        <v>87</v>
      </c>
    </row>
    <row r="105" spans="1:5">
      <c r="A105" t="s">
        <v>71</v>
      </c>
      <c r="B105" t="s">
        <v>41</v>
      </c>
      <c r="C105" t="s">
        <v>80</v>
      </c>
      <c r="D105" t="s">
        <v>84</v>
      </c>
      <c r="E105" t="s">
        <v>87</v>
      </c>
    </row>
    <row r="106" spans="1:5">
      <c r="A106" t="s">
        <v>69</v>
      </c>
      <c r="B106" t="s">
        <v>25</v>
      </c>
      <c r="C106" t="s">
        <v>48</v>
      </c>
      <c r="D106" t="s">
        <v>78</v>
      </c>
      <c r="E106" t="s">
        <v>87</v>
      </c>
    </row>
    <row r="107" spans="1:5">
      <c r="A107" t="s">
        <v>90</v>
      </c>
      <c r="B107" t="s">
        <v>25</v>
      </c>
      <c r="C107" t="s">
        <v>73</v>
      </c>
      <c r="D107" t="s">
        <v>89</v>
      </c>
      <c r="E107" t="s">
        <v>87</v>
      </c>
    </row>
    <row r="108" spans="1:5">
      <c r="A108" t="s">
        <v>24</v>
      </c>
      <c r="B108" t="s">
        <v>83</v>
      </c>
      <c r="C108" t="s">
        <v>61</v>
      </c>
      <c r="D108" t="s">
        <v>36</v>
      </c>
      <c r="E108" t="s">
        <v>87</v>
      </c>
    </row>
    <row r="109" spans="1:5">
      <c r="A109" t="s">
        <v>91</v>
      </c>
      <c r="B109" t="s">
        <v>41</v>
      </c>
      <c r="C109" t="s">
        <v>71</v>
      </c>
      <c r="D109" t="s">
        <v>84</v>
      </c>
      <c r="E109" t="s">
        <v>87</v>
      </c>
    </row>
    <row r="110" spans="1:5">
      <c r="A110" t="s">
        <v>81</v>
      </c>
      <c r="B110" t="s">
        <v>83</v>
      </c>
      <c r="C110" t="s">
        <v>48</v>
      </c>
      <c r="D110" t="s">
        <v>84</v>
      </c>
      <c r="E110" t="s">
        <v>87</v>
      </c>
    </row>
    <row r="111" spans="1:5">
      <c r="A111" t="s">
        <v>92</v>
      </c>
      <c r="B111" t="s">
        <v>33</v>
      </c>
      <c r="C111" t="s">
        <v>79</v>
      </c>
      <c r="D111" t="s">
        <v>83</v>
      </c>
      <c r="E111" t="s">
        <v>87</v>
      </c>
    </row>
    <row r="112" spans="1:5">
      <c r="A112" t="s">
        <v>69</v>
      </c>
      <c r="B112" t="s">
        <v>27</v>
      </c>
      <c r="C112" t="s">
        <v>19</v>
      </c>
      <c r="D112" t="s">
        <v>75</v>
      </c>
      <c r="E112" t="s">
        <v>87</v>
      </c>
    </row>
    <row r="113" spans="1:5">
      <c r="A113" t="s">
        <v>67</v>
      </c>
      <c r="B113" t="s">
        <v>74</v>
      </c>
      <c r="C113" t="s">
        <v>64</v>
      </c>
      <c r="D113" t="s">
        <v>56</v>
      </c>
      <c r="E113" t="s">
        <v>87</v>
      </c>
    </row>
    <row r="114" spans="1:5">
      <c r="A114" t="s">
        <v>85</v>
      </c>
      <c r="B114" t="s">
        <v>25</v>
      </c>
      <c r="C114" t="s">
        <v>59</v>
      </c>
      <c r="D114" t="s">
        <v>89</v>
      </c>
      <c r="E114" t="s">
        <v>87</v>
      </c>
    </row>
    <row r="115" spans="1:5">
      <c r="A115" t="s">
        <v>51</v>
      </c>
      <c r="B115" t="s">
        <v>83</v>
      </c>
      <c r="C115" t="s">
        <v>32</v>
      </c>
      <c r="D115" t="s">
        <v>75</v>
      </c>
      <c r="E115" t="s">
        <v>87</v>
      </c>
    </row>
    <row r="116" spans="1:5">
      <c r="A116" t="s">
        <v>48</v>
      </c>
      <c r="B116" t="s">
        <v>70</v>
      </c>
      <c r="C116" t="s">
        <v>19</v>
      </c>
      <c r="D116" t="s">
        <v>72</v>
      </c>
      <c r="E116" t="s">
        <v>87</v>
      </c>
    </row>
    <row r="117" spans="1:5">
      <c r="A117" t="s">
        <v>67</v>
      </c>
      <c r="B117" t="s">
        <v>27</v>
      </c>
      <c r="C117" t="s">
        <v>64</v>
      </c>
      <c r="D117" t="s">
        <v>62</v>
      </c>
      <c r="E117" t="s">
        <v>87</v>
      </c>
    </row>
    <row r="118" spans="1:5">
      <c r="A118" t="s">
        <v>69</v>
      </c>
      <c r="B118" t="s">
        <v>25</v>
      </c>
      <c r="C118" t="s">
        <v>59</v>
      </c>
      <c r="D118" t="s">
        <v>84</v>
      </c>
      <c r="E118" t="s">
        <v>87</v>
      </c>
    </row>
    <row r="119" spans="1:5">
      <c r="A119" t="s">
        <v>93</v>
      </c>
      <c r="B119" t="s">
        <v>52</v>
      </c>
      <c r="C119" t="s">
        <v>81</v>
      </c>
      <c r="D119" t="s">
        <v>78</v>
      </c>
      <c r="E119" t="s">
        <v>87</v>
      </c>
    </row>
    <row r="120" spans="1:5">
      <c r="A120" t="s">
        <v>93</v>
      </c>
      <c r="B120" t="s">
        <v>86</v>
      </c>
      <c r="C120" t="s">
        <v>68</v>
      </c>
      <c r="D120" t="s">
        <v>62</v>
      </c>
      <c r="E120" t="s">
        <v>87</v>
      </c>
    </row>
    <row r="121" spans="1:5">
      <c r="A121" t="s">
        <v>77</v>
      </c>
      <c r="B121" t="s">
        <v>78</v>
      </c>
      <c r="C121" t="s">
        <v>32</v>
      </c>
      <c r="D121" t="s">
        <v>31</v>
      </c>
      <c r="E121" t="s">
        <v>87</v>
      </c>
    </row>
    <row r="122" spans="1:5">
      <c r="A122" t="s">
        <v>68</v>
      </c>
      <c r="B122" t="s">
        <v>27</v>
      </c>
      <c r="C122" t="s">
        <v>51</v>
      </c>
      <c r="D122" t="s">
        <v>62</v>
      </c>
      <c r="E122" t="s">
        <v>87</v>
      </c>
    </row>
    <row r="123" spans="1:5">
      <c r="A123" t="s">
        <v>80</v>
      </c>
      <c r="B123" t="s">
        <v>70</v>
      </c>
      <c r="C123" t="s">
        <v>24</v>
      </c>
      <c r="D123" t="s">
        <v>75</v>
      </c>
      <c r="E123" t="s">
        <v>87</v>
      </c>
    </row>
    <row r="124" spans="1:5">
      <c r="A124" t="s">
        <v>93</v>
      </c>
      <c r="B124" t="s">
        <v>70</v>
      </c>
      <c r="C124" t="s">
        <v>81</v>
      </c>
      <c r="D124" t="s">
        <v>75</v>
      </c>
      <c r="E124" t="s">
        <v>87</v>
      </c>
    </row>
    <row r="125" spans="1:5">
      <c r="A125" t="s">
        <v>71</v>
      </c>
      <c r="B125" t="s">
        <v>74</v>
      </c>
      <c r="C125" t="s">
        <v>24</v>
      </c>
      <c r="D125" t="s">
        <v>84</v>
      </c>
      <c r="E125" t="s">
        <v>87</v>
      </c>
    </row>
    <row r="126" spans="1:5">
      <c r="A126" t="s">
        <v>81</v>
      </c>
      <c r="B126" t="s">
        <v>54</v>
      </c>
      <c r="C126" t="s">
        <v>51</v>
      </c>
      <c r="D126" t="s">
        <v>89</v>
      </c>
      <c r="E126" t="s">
        <v>87</v>
      </c>
    </row>
    <row r="127" spans="1:5">
      <c r="A127" t="s">
        <v>92</v>
      </c>
      <c r="B127" t="s">
        <v>27</v>
      </c>
      <c r="C127" t="s">
        <v>77</v>
      </c>
      <c r="D127" t="s">
        <v>84</v>
      </c>
      <c r="E127" t="s">
        <v>87</v>
      </c>
    </row>
    <row r="128" spans="1:5">
      <c r="A128" t="s">
        <v>82</v>
      </c>
      <c r="B128" t="s">
        <v>70</v>
      </c>
      <c r="C128" t="s">
        <v>44</v>
      </c>
      <c r="D128" t="s">
        <v>84</v>
      </c>
      <c r="E128" t="s">
        <v>87</v>
      </c>
    </row>
    <row r="129" spans="1:5">
      <c r="A129" t="s">
        <v>79</v>
      </c>
      <c r="B129" t="s">
        <v>25</v>
      </c>
      <c r="C129" t="s">
        <v>24</v>
      </c>
      <c r="D129" t="s">
        <v>84</v>
      </c>
      <c r="E129" t="s">
        <v>87</v>
      </c>
    </row>
    <row r="130" spans="1:5">
      <c r="A130" t="s">
        <v>67</v>
      </c>
      <c r="B130" t="s">
        <v>70</v>
      </c>
      <c r="C130" t="s">
        <v>80</v>
      </c>
      <c r="D130" t="s">
        <v>89</v>
      </c>
      <c r="E130" t="s">
        <v>87</v>
      </c>
    </row>
    <row r="131" spans="1:5">
      <c r="A131" t="s">
        <v>92</v>
      </c>
      <c r="B131" t="s">
        <v>25</v>
      </c>
      <c r="C131" t="s">
        <v>48</v>
      </c>
      <c r="D131" t="s">
        <v>45</v>
      </c>
      <c r="E131" t="s">
        <v>87</v>
      </c>
    </row>
    <row r="132" spans="1:5">
      <c r="A132" t="s">
        <v>94</v>
      </c>
      <c r="B132" t="s">
        <v>70</v>
      </c>
      <c r="C132" t="s">
        <v>79</v>
      </c>
      <c r="D132" t="s">
        <v>56</v>
      </c>
      <c r="E132" t="s">
        <v>87</v>
      </c>
    </row>
    <row r="133" spans="1:5">
      <c r="A133" t="s">
        <v>95</v>
      </c>
      <c r="B133" t="s">
        <v>52</v>
      </c>
      <c r="C133" t="s">
        <v>67</v>
      </c>
      <c r="D133" t="s">
        <v>75</v>
      </c>
      <c r="E133" t="s">
        <v>87</v>
      </c>
    </row>
    <row r="134" spans="1:5">
      <c r="A134" t="s">
        <v>67</v>
      </c>
      <c r="B134" t="s">
        <v>70</v>
      </c>
      <c r="C134" t="s">
        <v>80</v>
      </c>
      <c r="D134" t="s">
        <v>78</v>
      </c>
      <c r="E134" t="s">
        <v>87</v>
      </c>
    </row>
    <row r="135" spans="1:5">
      <c r="A135" t="s">
        <v>71</v>
      </c>
      <c r="B135" t="s">
        <v>70</v>
      </c>
      <c r="C135" t="s">
        <v>19</v>
      </c>
      <c r="D135" t="s">
        <v>31</v>
      </c>
      <c r="E135" t="s">
        <v>87</v>
      </c>
    </row>
    <row r="136" spans="1:5">
      <c r="A136" t="s">
        <v>79</v>
      </c>
      <c r="B136" t="s">
        <v>86</v>
      </c>
      <c r="C136" t="s">
        <v>80</v>
      </c>
      <c r="D136" t="s">
        <v>21</v>
      </c>
      <c r="E136" t="s">
        <v>87</v>
      </c>
    </row>
    <row r="137" spans="1:5">
      <c r="A137" t="s">
        <v>93</v>
      </c>
      <c r="B137" t="s">
        <v>25</v>
      </c>
      <c r="C137" t="s">
        <v>79</v>
      </c>
      <c r="D137" t="s">
        <v>62</v>
      </c>
      <c r="E137" t="s">
        <v>87</v>
      </c>
    </row>
    <row r="138" spans="1:5">
      <c r="A138" t="s">
        <v>71</v>
      </c>
      <c r="B138" t="s">
        <v>38</v>
      </c>
      <c r="C138" t="s">
        <v>80</v>
      </c>
      <c r="D138" t="s">
        <v>72</v>
      </c>
      <c r="E138" t="s">
        <v>87</v>
      </c>
    </row>
    <row r="139" spans="1:5">
      <c r="A139" t="s">
        <v>67</v>
      </c>
      <c r="B139" t="s">
        <v>30</v>
      </c>
      <c r="C139" t="s">
        <v>59</v>
      </c>
      <c r="D139" t="s">
        <v>84</v>
      </c>
      <c r="E139" t="s">
        <v>87</v>
      </c>
    </row>
    <row r="140" spans="1:5">
      <c r="A140" t="s">
        <v>77</v>
      </c>
      <c r="B140" t="s">
        <v>25</v>
      </c>
      <c r="C140" t="s">
        <v>44</v>
      </c>
      <c r="D140" t="s">
        <v>84</v>
      </c>
      <c r="E140" t="s">
        <v>87</v>
      </c>
    </row>
    <row r="141" spans="1:5">
      <c r="A141" t="s">
        <v>68</v>
      </c>
      <c r="B141" t="s">
        <v>30</v>
      </c>
      <c r="C141" t="s">
        <v>34</v>
      </c>
      <c r="D141" t="s">
        <v>89</v>
      </c>
      <c r="E141" t="s">
        <v>87</v>
      </c>
    </row>
    <row r="142" spans="1:5">
      <c r="A142" t="s">
        <v>81</v>
      </c>
      <c r="B142" t="s">
        <v>30</v>
      </c>
      <c r="C142" t="s">
        <v>80</v>
      </c>
      <c r="D142" t="s">
        <v>72</v>
      </c>
      <c r="E142" t="s">
        <v>87</v>
      </c>
    </row>
    <row r="143" spans="1:5">
      <c r="A143" t="s">
        <v>68</v>
      </c>
      <c r="B143" t="s">
        <v>30</v>
      </c>
      <c r="C143" t="s">
        <v>19</v>
      </c>
      <c r="D143" t="s">
        <v>62</v>
      </c>
      <c r="E143" t="s">
        <v>87</v>
      </c>
    </row>
    <row r="144" spans="1:5">
      <c r="A144" t="s">
        <v>48</v>
      </c>
      <c r="B144" t="s">
        <v>74</v>
      </c>
      <c r="C144" t="s">
        <v>19</v>
      </c>
      <c r="D144" t="s">
        <v>56</v>
      </c>
      <c r="E144" t="s">
        <v>87</v>
      </c>
    </row>
    <row r="145" spans="1:5">
      <c r="A145" t="s">
        <v>85</v>
      </c>
      <c r="B145" t="s">
        <v>27</v>
      </c>
      <c r="C145" t="s">
        <v>76</v>
      </c>
      <c r="D145" t="s">
        <v>62</v>
      </c>
      <c r="E145" t="s">
        <v>87</v>
      </c>
    </row>
    <row r="146" spans="1:5">
      <c r="A146" t="s">
        <v>81</v>
      </c>
      <c r="B146" t="s">
        <v>54</v>
      </c>
      <c r="C146" t="s">
        <v>51</v>
      </c>
      <c r="D146" t="s">
        <v>83</v>
      </c>
      <c r="E146" t="s">
        <v>87</v>
      </c>
    </row>
    <row r="147" spans="1:5">
      <c r="A147" t="s">
        <v>81</v>
      </c>
      <c r="B147" t="s">
        <v>25</v>
      </c>
      <c r="C147" t="s">
        <v>57</v>
      </c>
      <c r="D147" t="s">
        <v>62</v>
      </c>
      <c r="E147" t="s">
        <v>87</v>
      </c>
    </row>
    <row r="148" spans="1:5">
      <c r="A148" t="s">
        <v>71</v>
      </c>
      <c r="B148" t="s">
        <v>83</v>
      </c>
      <c r="C148" t="s">
        <v>32</v>
      </c>
      <c r="D148" t="s">
        <v>56</v>
      </c>
      <c r="E148" t="s">
        <v>87</v>
      </c>
    </row>
    <row r="149" spans="1:5">
      <c r="A149" t="s">
        <v>69</v>
      </c>
      <c r="B149" t="s">
        <v>25</v>
      </c>
      <c r="C149" t="s">
        <v>57</v>
      </c>
      <c r="D149" t="s">
        <v>75</v>
      </c>
      <c r="E149" t="s">
        <v>87</v>
      </c>
    </row>
    <row r="150" spans="1:5">
      <c r="A150" t="s">
        <v>82</v>
      </c>
      <c r="B150" t="s">
        <v>38</v>
      </c>
      <c r="C150" t="s">
        <v>34</v>
      </c>
      <c r="D150" t="s">
        <v>62</v>
      </c>
      <c r="E150" t="s">
        <v>87</v>
      </c>
    </row>
    <row r="151" spans="1:5">
      <c r="A151" t="s">
        <v>76</v>
      </c>
      <c r="B151" t="s">
        <v>25</v>
      </c>
      <c r="C151" t="s">
        <v>19</v>
      </c>
      <c r="D151" t="s">
        <v>84</v>
      </c>
      <c r="E151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1"/>
  <sheetViews>
    <sheetView workbookViewId="0"/>
  </sheetViews>
  <sheetFormatPr baseColWidth="10" defaultColWidth="8.796875" defaultRowHeight="13.8"/>
  <cols>
    <col min="1" max="6" width="16" customWidth="1"/>
  </cols>
  <sheetData>
    <row r="1" spans="1:6">
      <c r="A1" s="1" t="s">
        <v>96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>
        <v>1</v>
      </c>
      <c r="B2" t="s">
        <v>97</v>
      </c>
      <c r="C2" t="s">
        <v>97</v>
      </c>
      <c r="D2" t="s">
        <v>97</v>
      </c>
      <c r="E2" t="s">
        <v>97</v>
      </c>
      <c r="F2" t="s">
        <v>23</v>
      </c>
    </row>
    <row r="3" spans="1:6">
      <c r="A3">
        <v>2</v>
      </c>
      <c r="B3" t="s">
        <v>97</v>
      </c>
      <c r="C3" t="s">
        <v>97</v>
      </c>
      <c r="D3" t="s">
        <v>97</v>
      </c>
      <c r="E3" t="s">
        <v>97</v>
      </c>
      <c r="F3" t="s">
        <v>23</v>
      </c>
    </row>
    <row r="4" spans="1:6">
      <c r="A4">
        <v>3</v>
      </c>
      <c r="B4" t="s">
        <v>97</v>
      </c>
      <c r="C4" t="s">
        <v>98</v>
      </c>
      <c r="D4" t="s">
        <v>97</v>
      </c>
      <c r="E4" t="s">
        <v>97</v>
      </c>
      <c r="F4" t="s">
        <v>23</v>
      </c>
    </row>
    <row r="5" spans="1:6">
      <c r="A5">
        <v>4</v>
      </c>
      <c r="B5" t="s">
        <v>97</v>
      </c>
      <c r="C5" t="s">
        <v>98</v>
      </c>
      <c r="D5" t="s">
        <v>97</v>
      </c>
      <c r="E5" t="s">
        <v>97</v>
      </c>
      <c r="F5" t="s">
        <v>23</v>
      </c>
    </row>
    <row r="6" spans="1:6">
      <c r="A6">
        <v>5</v>
      </c>
      <c r="B6" t="s">
        <v>97</v>
      </c>
      <c r="C6" t="s">
        <v>98</v>
      </c>
      <c r="D6" t="s">
        <v>97</v>
      </c>
      <c r="E6" t="s">
        <v>97</v>
      </c>
      <c r="F6" t="s">
        <v>23</v>
      </c>
    </row>
    <row r="7" spans="1:6">
      <c r="A7">
        <v>6</v>
      </c>
      <c r="B7" t="s">
        <v>97</v>
      </c>
      <c r="C7" t="s">
        <v>98</v>
      </c>
      <c r="D7" t="s">
        <v>97</v>
      </c>
      <c r="E7" t="s">
        <v>97</v>
      </c>
      <c r="F7" t="s">
        <v>23</v>
      </c>
    </row>
    <row r="8" spans="1:6">
      <c r="A8">
        <v>7</v>
      </c>
      <c r="B8" t="s">
        <v>97</v>
      </c>
      <c r="C8" t="s">
        <v>98</v>
      </c>
      <c r="D8" t="s">
        <v>97</v>
      </c>
      <c r="E8" t="s">
        <v>97</v>
      </c>
      <c r="F8" t="s">
        <v>23</v>
      </c>
    </row>
    <row r="9" spans="1:6">
      <c r="A9">
        <v>8</v>
      </c>
      <c r="B9" t="s">
        <v>97</v>
      </c>
      <c r="C9" t="s">
        <v>98</v>
      </c>
      <c r="D9" t="s">
        <v>97</v>
      </c>
      <c r="E9" t="s">
        <v>97</v>
      </c>
      <c r="F9" t="s">
        <v>23</v>
      </c>
    </row>
    <row r="10" spans="1:6">
      <c r="A10">
        <v>9</v>
      </c>
      <c r="B10" t="s">
        <v>97</v>
      </c>
      <c r="C10" t="s">
        <v>98</v>
      </c>
      <c r="D10" t="s">
        <v>97</v>
      </c>
      <c r="E10" t="s">
        <v>97</v>
      </c>
      <c r="F10" t="s">
        <v>23</v>
      </c>
    </row>
    <row r="11" spans="1:6">
      <c r="A11">
        <v>10</v>
      </c>
      <c r="B11" t="s">
        <v>97</v>
      </c>
      <c r="C11" t="s">
        <v>98</v>
      </c>
      <c r="D11" t="s">
        <v>97</v>
      </c>
      <c r="E11" t="s">
        <v>97</v>
      </c>
      <c r="F11" t="s">
        <v>23</v>
      </c>
    </row>
    <row r="12" spans="1:6">
      <c r="A12">
        <v>11</v>
      </c>
      <c r="B12" t="s">
        <v>97</v>
      </c>
      <c r="C12" t="s">
        <v>98</v>
      </c>
      <c r="D12" t="s">
        <v>97</v>
      </c>
      <c r="E12" t="s">
        <v>97</v>
      </c>
      <c r="F12" t="s">
        <v>23</v>
      </c>
    </row>
    <row r="13" spans="1:6">
      <c r="A13">
        <v>12</v>
      </c>
      <c r="B13" t="s">
        <v>97</v>
      </c>
      <c r="C13" t="s">
        <v>98</v>
      </c>
      <c r="D13" t="s">
        <v>97</v>
      </c>
      <c r="E13" t="s">
        <v>97</v>
      </c>
      <c r="F13" t="s">
        <v>23</v>
      </c>
    </row>
    <row r="14" spans="1:6">
      <c r="A14">
        <v>13</v>
      </c>
      <c r="B14" t="s">
        <v>97</v>
      </c>
      <c r="C14" t="s">
        <v>98</v>
      </c>
      <c r="D14" t="s">
        <v>97</v>
      </c>
      <c r="E14" t="s">
        <v>97</v>
      </c>
      <c r="F14" t="s">
        <v>23</v>
      </c>
    </row>
    <row r="15" spans="1:6">
      <c r="A15">
        <v>14</v>
      </c>
      <c r="B15" t="s">
        <v>97</v>
      </c>
      <c r="C15" t="s">
        <v>98</v>
      </c>
      <c r="D15" t="s">
        <v>97</v>
      </c>
      <c r="E15" t="s">
        <v>97</v>
      </c>
      <c r="F15" t="s">
        <v>23</v>
      </c>
    </row>
    <row r="16" spans="1:6">
      <c r="A16">
        <v>15</v>
      </c>
      <c r="B16" t="s">
        <v>97</v>
      </c>
      <c r="C16" t="s">
        <v>98</v>
      </c>
      <c r="D16" t="s">
        <v>97</v>
      </c>
      <c r="E16" t="s">
        <v>97</v>
      </c>
      <c r="F16" t="s">
        <v>23</v>
      </c>
    </row>
    <row r="17" spans="1:6">
      <c r="A17">
        <v>16</v>
      </c>
      <c r="B17" t="s">
        <v>97</v>
      </c>
      <c r="C17" t="s">
        <v>98</v>
      </c>
      <c r="D17" t="s">
        <v>97</v>
      </c>
      <c r="E17" t="s">
        <v>97</v>
      </c>
      <c r="F17" t="s">
        <v>23</v>
      </c>
    </row>
    <row r="18" spans="1:6">
      <c r="A18">
        <v>17</v>
      </c>
      <c r="B18" t="s">
        <v>97</v>
      </c>
      <c r="C18" t="s">
        <v>98</v>
      </c>
      <c r="D18" t="s">
        <v>97</v>
      </c>
      <c r="E18" t="s">
        <v>97</v>
      </c>
      <c r="F18" t="s">
        <v>23</v>
      </c>
    </row>
    <row r="19" spans="1:6">
      <c r="A19">
        <v>18</v>
      </c>
      <c r="B19" t="s">
        <v>97</v>
      </c>
      <c r="C19" t="s">
        <v>98</v>
      </c>
      <c r="D19" t="s">
        <v>97</v>
      </c>
      <c r="E19" t="s">
        <v>97</v>
      </c>
      <c r="F19" t="s">
        <v>23</v>
      </c>
    </row>
    <row r="20" spans="1:6">
      <c r="A20">
        <v>19</v>
      </c>
      <c r="B20" t="s">
        <v>97</v>
      </c>
      <c r="C20" t="s">
        <v>98</v>
      </c>
      <c r="D20" t="s">
        <v>97</v>
      </c>
      <c r="E20" t="s">
        <v>97</v>
      </c>
      <c r="F20" t="s">
        <v>23</v>
      </c>
    </row>
    <row r="21" spans="1:6">
      <c r="A21">
        <v>20</v>
      </c>
      <c r="B21" t="s">
        <v>97</v>
      </c>
      <c r="C21" t="s">
        <v>98</v>
      </c>
      <c r="D21" t="s">
        <v>97</v>
      </c>
      <c r="E21" t="s">
        <v>97</v>
      </c>
      <c r="F21" t="s">
        <v>23</v>
      </c>
    </row>
    <row r="22" spans="1:6">
      <c r="A22">
        <v>21</v>
      </c>
      <c r="B22" t="s">
        <v>97</v>
      </c>
      <c r="C22" t="s">
        <v>98</v>
      </c>
      <c r="D22" t="s">
        <v>97</v>
      </c>
      <c r="E22" t="s">
        <v>97</v>
      </c>
      <c r="F22" t="s">
        <v>23</v>
      </c>
    </row>
    <row r="23" spans="1:6">
      <c r="A23">
        <v>22</v>
      </c>
      <c r="B23" t="s">
        <v>97</v>
      </c>
      <c r="C23" t="s">
        <v>98</v>
      </c>
      <c r="D23" t="s">
        <v>97</v>
      </c>
      <c r="E23" t="s">
        <v>97</v>
      </c>
      <c r="F23" t="s">
        <v>23</v>
      </c>
    </row>
    <row r="24" spans="1:6">
      <c r="A24">
        <v>23</v>
      </c>
      <c r="B24" t="s">
        <v>97</v>
      </c>
      <c r="C24" t="s">
        <v>98</v>
      </c>
      <c r="D24" t="s">
        <v>97</v>
      </c>
      <c r="E24" t="s">
        <v>97</v>
      </c>
      <c r="F24" t="s">
        <v>23</v>
      </c>
    </row>
    <row r="25" spans="1:6">
      <c r="A25">
        <v>24</v>
      </c>
      <c r="B25" t="s">
        <v>97</v>
      </c>
      <c r="C25" t="s">
        <v>98</v>
      </c>
      <c r="D25" t="s">
        <v>97</v>
      </c>
      <c r="E25" t="s">
        <v>97</v>
      </c>
      <c r="F25" t="s">
        <v>23</v>
      </c>
    </row>
    <row r="26" spans="1:6">
      <c r="A26">
        <v>25</v>
      </c>
      <c r="B26" t="s">
        <v>97</v>
      </c>
      <c r="C26" t="s">
        <v>98</v>
      </c>
      <c r="D26" t="s">
        <v>97</v>
      </c>
      <c r="E26" t="s">
        <v>97</v>
      </c>
      <c r="F26" t="s">
        <v>23</v>
      </c>
    </row>
    <row r="27" spans="1:6">
      <c r="A27">
        <v>26</v>
      </c>
      <c r="B27" t="s">
        <v>97</v>
      </c>
      <c r="C27" t="s">
        <v>98</v>
      </c>
      <c r="D27" t="s">
        <v>97</v>
      </c>
      <c r="E27" t="s">
        <v>97</v>
      </c>
      <c r="F27" t="s">
        <v>23</v>
      </c>
    </row>
    <row r="28" spans="1:6">
      <c r="A28">
        <v>27</v>
      </c>
      <c r="B28" t="s">
        <v>97</v>
      </c>
      <c r="C28" t="s">
        <v>98</v>
      </c>
      <c r="D28" t="s">
        <v>97</v>
      </c>
      <c r="E28" t="s">
        <v>97</v>
      </c>
      <c r="F28" t="s">
        <v>23</v>
      </c>
    </row>
    <row r="29" spans="1:6">
      <c r="A29">
        <v>28</v>
      </c>
      <c r="B29" t="s">
        <v>97</v>
      </c>
      <c r="C29" t="s">
        <v>98</v>
      </c>
      <c r="D29" t="s">
        <v>97</v>
      </c>
      <c r="E29" t="s">
        <v>97</v>
      </c>
      <c r="F29" t="s">
        <v>23</v>
      </c>
    </row>
    <row r="30" spans="1:6">
      <c r="A30">
        <v>29</v>
      </c>
      <c r="B30" t="s">
        <v>97</v>
      </c>
      <c r="C30" t="s">
        <v>98</v>
      </c>
      <c r="D30" t="s">
        <v>97</v>
      </c>
      <c r="E30" t="s">
        <v>97</v>
      </c>
      <c r="F30" t="s">
        <v>23</v>
      </c>
    </row>
    <row r="31" spans="1:6">
      <c r="A31">
        <v>30</v>
      </c>
      <c r="B31" t="s">
        <v>97</v>
      </c>
      <c r="C31" t="s">
        <v>99</v>
      </c>
      <c r="D31" t="s">
        <v>97</v>
      </c>
      <c r="E31" t="s">
        <v>97</v>
      </c>
      <c r="F31" t="s">
        <v>23</v>
      </c>
    </row>
    <row r="32" spans="1:6">
      <c r="A32">
        <v>31</v>
      </c>
      <c r="B32" t="s">
        <v>97</v>
      </c>
      <c r="C32" t="s">
        <v>99</v>
      </c>
      <c r="D32" t="s">
        <v>97</v>
      </c>
      <c r="E32" t="s">
        <v>97</v>
      </c>
      <c r="F32" t="s">
        <v>23</v>
      </c>
    </row>
    <row r="33" spans="1:6">
      <c r="A33">
        <v>32</v>
      </c>
      <c r="B33" t="s">
        <v>97</v>
      </c>
      <c r="C33" t="s">
        <v>99</v>
      </c>
      <c r="D33" t="s">
        <v>97</v>
      </c>
      <c r="E33" t="s">
        <v>97</v>
      </c>
      <c r="F33" t="s">
        <v>23</v>
      </c>
    </row>
    <row r="34" spans="1:6">
      <c r="A34">
        <v>33</v>
      </c>
      <c r="B34" t="s">
        <v>97</v>
      </c>
      <c r="C34" t="s">
        <v>99</v>
      </c>
      <c r="D34" t="s">
        <v>97</v>
      </c>
      <c r="E34" t="s">
        <v>97</v>
      </c>
      <c r="F34" t="s">
        <v>23</v>
      </c>
    </row>
    <row r="35" spans="1:6">
      <c r="A35">
        <v>34</v>
      </c>
      <c r="B35" t="s">
        <v>97</v>
      </c>
      <c r="C35" t="s">
        <v>99</v>
      </c>
      <c r="D35" t="s">
        <v>97</v>
      </c>
      <c r="E35" t="s">
        <v>97</v>
      </c>
      <c r="F35" t="s">
        <v>23</v>
      </c>
    </row>
    <row r="36" spans="1:6">
      <c r="A36">
        <v>35</v>
      </c>
      <c r="B36" t="s">
        <v>97</v>
      </c>
      <c r="C36" t="s">
        <v>99</v>
      </c>
      <c r="D36" t="s">
        <v>97</v>
      </c>
      <c r="E36" t="s">
        <v>97</v>
      </c>
      <c r="F36" t="s">
        <v>23</v>
      </c>
    </row>
    <row r="37" spans="1:6">
      <c r="A37">
        <v>36</v>
      </c>
      <c r="B37" t="s">
        <v>97</v>
      </c>
      <c r="C37" t="s">
        <v>99</v>
      </c>
      <c r="D37" t="s">
        <v>97</v>
      </c>
      <c r="E37" t="s">
        <v>97</v>
      </c>
      <c r="F37" t="s">
        <v>23</v>
      </c>
    </row>
    <row r="38" spans="1:6">
      <c r="A38">
        <v>37</v>
      </c>
      <c r="B38" t="s">
        <v>97</v>
      </c>
      <c r="C38" t="s">
        <v>99</v>
      </c>
      <c r="D38" t="s">
        <v>97</v>
      </c>
      <c r="E38" t="s">
        <v>97</v>
      </c>
      <c r="F38" t="s">
        <v>23</v>
      </c>
    </row>
    <row r="39" spans="1:6">
      <c r="A39">
        <v>38</v>
      </c>
      <c r="B39" t="s">
        <v>97</v>
      </c>
      <c r="C39" t="s">
        <v>99</v>
      </c>
      <c r="D39" t="s">
        <v>97</v>
      </c>
      <c r="E39" t="s">
        <v>97</v>
      </c>
      <c r="F39" t="s">
        <v>23</v>
      </c>
    </row>
    <row r="40" spans="1:6">
      <c r="A40">
        <v>39</v>
      </c>
      <c r="B40" t="s">
        <v>97</v>
      </c>
      <c r="C40" t="s">
        <v>99</v>
      </c>
      <c r="D40" t="s">
        <v>97</v>
      </c>
      <c r="E40" t="s">
        <v>97</v>
      </c>
      <c r="F40" t="s">
        <v>23</v>
      </c>
    </row>
    <row r="41" spans="1:6">
      <c r="A41">
        <v>40</v>
      </c>
      <c r="B41" t="s">
        <v>97</v>
      </c>
      <c r="C41" t="s">
        <v>99</v>
      </c>
      <c r="D41" t="s">
        <v>97</v>
      </c>
      <c r="E41" t="s">
        <v>97</v>
      </c>
      <c r="F41" t="s">
        <v>23</v>
      </c>
    </row>
    <row r="42" spans="1:6">
      <c r="A42">
        <v>41</v>
      </c>
      <c r="B42" t="s">
        <v>97</v>
      </c>
      <c r="C42" t="s">
        <v>99</v>
      </c>
      <c r="D42" t="s">
        <v>97</v>
      </c>
      <c r="E42" t="s">
        <v>97</v>
      </c>
      <c r="F42" t="s">
        <v>23</v>
      </c>
    </row>
    <row r="43" spans="1:6">
      <c r="A43">
        <v>42</v>
      </c>
      <c r="B43" t="s">
        <v>97</v>
      </c>
      <c r="C43" t="s">
        <v>99</v>
      </c>
      <c r="D43" t="s">
        <v>97</v>
      </c>
      <c r="E43" t="s">
        <v>97</v>
      </c>
      <c r="F43" t="s">
        <v>23</v>
      </c>
    </row>
    <row r="44" spans="1:6">
      <c r="A44">
        <v>43</v>
      </c>
      <c r="B44" t="s">
        <v>97</v>
      </c>
      <c r="C44" t="s">
        <v>99</v>
      </c>
      <c r="D44" t="s">
        <v>97</v>
      </c>
      <c r="E44" t="s">
        <v>97</v>
      </c>
      <c r="F44" t="s">
        <v>23</v>
      </c>
    </row>
    <row r="45" spans="1:6">
      <c r="A45">
        <v>44</v>
      </c>
      <c r="B45" t="s">
        <v>97</v>
      </c>
      <c r="C45" t="s">
        <v>99</v>
      </c>
      <c r="D45" t="s">
        <v>97</v>
      </c>
      <c r="E45" t="s">
        <v>97</v>
      </c>
      <c r="F45" t="s">
        <v>23</v>
      </c>
    </row>
    <row r="46" spans="1:6">
      <c r="A46">
        <v>45</v>
      </c>
      <c r="B46" t="s">
        <v>97</v>
      </c>
      <c r="C46" t="s">
        <v>99</v>
      </c>
      <c r="D46" t="s">
        <v>97</v>
      </c>
      <c r="E46" t="s">
        <v>97</v>
      </c>
      <c r="F46" t="s">
        <v>23</v>
      </c>
    </row>
    <row r="47" spans="1:6">
      <c r="A47">
        <v>46</v>
      </c>
      <c r="B47" t="s">
        <v>97</v>
      </c>
      <c r="C47" t="s">
        <v>97</v>
      </c>
      <c r="D47" t="s">
        <v>99</v>
      </c>
      <c r="E47" t="s">
        <v>98</v>
      </c>
      <c r="F47" t="s">
        <v>87</v>
      </c>
    </row>
    <row r="48" spans="1:6">
      <c r="A48">
        <v>47</v>
      </c>
      <c r="B48" t="s">
        <v>97</v>
      </c>
      <c r="C48" t="s">
        <v>97</v>
      </c>
      <c r="D48" t="s">
        <v>97</v>
      </c>
      <c r="E48" t="s">
        <v>99</v>
      </c>
      <c r="F48" t="s">
        <v>66</v>
      </c>
    </row>
    <row r="49" spans="1:6">
      <c r="A49">
        <v>48</v>
      </c>
      <c r="B49" t="s">
        <v>97</v>
      </c>
      <c r="C49" t="s">
        <v>97</v>
      </c>
      <c r="D49" t="s">
        <v>99</v>
      </c>
      <c r="E49" t="s">
        <v>99</v>
      </c>
      <c r="F49" t="s">
        <v>66</v>
      </c>
    </row>
    <row r="50" spans="1:6">
      <c r="A50">
        <v>49</v>
      </c>
      <c r="B50" t="s">
        <v>97</v>
      </c>
      <c r="C50" t="s">
        <v>97</v>
      </c>
      <c r="D50" t="s">
        <v>99</v>
      </c>
      <c r="E50" t="s">
        <v>99</v>
      </c>
      <c r="F50" t="s">
        <v>66</v>
      </c>
    </row>
    <row r="51" spans="1:6">
      <c r="A51">
        <v>50</v>
      </c>
      <c r="B51" t="s">
        <v>97</v>
      </c>
      <c r="C51" t="s">
        <v>97</v>
      </c>
      <c r="D51" t="s">
        <v>99</v>
      </c>
      <c r="E51" t="s">
        <v>99</v>
      </c>
      <c r="F51" t="s">
        <v>66</v>
      </c>
    </row>
    <row r="52" spans="1:6">
      <c r="A52">
        <v>51</v>
      </c>
      <c r="B52" t="s">
        <v>97</v>
      </c>
      <c r="C52" t="s">
        <v>97</v>
      </c>
      <c r="D52" t="s">
        <v>99</v>
      </c>
      <c r="E52" t="s">
        <v>99</v>
      </c>
      <c r="F52" t="s">
        <v>66</v>
      </c>
    </row>
    <row r="53" spans="1:6">
      <c r="A53">
        <v>52</v>
      </c>
      <c r="B53" t="s">
        <v>97</v>
      </c>
      <c r="C53" t="s">
        <v>99</v>
      </c>
      <c r="D53" t="s">
        <v>99</v>
      </c>
      <c r="E53" t="s">
        <v>99</v>
      </c>
      <c r="F53" t="s">
        <v>66</v>
      </c>
    </row>
    <row r="54" spans="1:6">
      <c r="A54">
        <v>53</v>
      </c>
      <c r="B54" t="s">
        <v>98</v>
      </c>
      <c r="C54" t="s">
        <v>97</v>
      </c>
      <c r="D54" t="s">
        <v>98</v>
      </c>
      <c r="E54" t="s">
        <v>98</v>
      </c>
      <c r="F54" t="s">
        <v>87</v>
      </c>
    </row>
    <row r="55" spans="1:6">
      <c r="A55">
        <v>54</v>
      </c>
      <c r="B55" t="s">
        <v>98</v>
      </c>
      <c r="C55" t="s">
        <v>97</v>
      </c>
      <c r="D55" t="s">
        <v>98</v>
      </c>
      <c r="E55" t="s">
        <v>98</v>
      </c>
      <c r="F55" t="s">
        <v>87</v>
      </c>
    </row>
    <row r="56" spans="1:6">
      <c r="A56">
        <v>55</v>
      </c>
      <c r="B56" t="s">
        <v>98</v>
      </c>
      <c r="C56" t="s">
        <v>97</v>
      </c>
      <c r="D56" t="s">
        <v>98</v>
      </c>
      <c r="E56" t="s">
        <v>98</v>
      </c>
      <c r="F56" t="s">
        <v>87</v>
      </c>
    </row>
    <row r="57" spans="1:6">
      <c r="A57">
        <v>56</v>
      </c>
      <c r="B57" t="s">
        <v>98</v>
      </c>
      <c r="C57" t="s">
        <v>97</v>
      </c>
      <c r="D57" t="s">
        <v>98</v>
      </c>
      <c r="E57" t="s">
        <v>98</v>
      </c>
      <c r="F57" t="s">
        <v>87</v>
      </c>
    </row>
    <row r="58" spans="1:6">
      <c r="A58">
        <v>57</v>
      </c>
      <c r="B58" t="s">
        <v>98</v>
      </c>
      <c r="C58" t="s">
        <v>97</v>
      </c>
      <c r="D58" t="s">
        <v>98</v>
      </c>
      <c r="E58" t="s">
        <v>98</v>
      </c>
      <c r="F58" t="s">
        <v>87</v>
      </c>
    </row>
    <row r="59" spans="1:6">
      <c r="A59">
        <v>58</v>
      </c>
      <c r="B59" t="s">
        <v>98</v>
      </c>
      <c r="C59" t="s">
        <v>97</v>
      </c>
      <c r="D59" t="s">
        <v>98</v>
      </c>
      <c r="E59" t="s">
        <v>98</v>
      </c>
      <c r="F59" t="s">
        <v>87</v>
      </c>
    </row>
    <row r="60" spans="1:6">
      <c r="A60">
        <v>59</v>
      </c>
      <c r="B60" t="s">
        <v>98</v>
      </c>
      <c r="C60" t="s">
        <v>97</v>
      </c>
      <c r="D60" t="s">
        <v>98</v>
      </c>
      <c r="E60" t="s">
        <v>98</v>
      </c>
      <c r="F60" t="s">
        <v>87</v>
      </c>
    </row>
    <row r="61" spans="1:6">
      <c r="A61">
        <v>60</v>
      </c>
      <c r="B61" t="s">
        <v>98</v>
      </c>
      <c r="C61" t="s">
        <v>97</v>
      </c>
      <c r="D61" t="s">
        <v>98</v>
      </c>
      <c r="E61" t="s">
        <v>98</v>
      </c>
      <c r="F61" t="s">
        <v>87</v>
      </c>
    </row>
    <row r="62" spans="1:6">
      <c r="A62">
        <v>61</v>
      </c>
      <c r="B62" t="s">
        <v>98</v>
      </c>
      <c r="C62" t="s">
        <v>97</v>
      </c>
      <c r="D62" t="s">
        <v>98</v>
      </c>
      <c r="E62" t="s">
        <v>98</v>
      </c>
      <c r="F62" t="s">
        <v>87</v>
      </c>
    </row>
    <row r="63" spans="1:6">
      <c r="A63">
        <v>62</v>
      </c>
      <c r="B63" t="s">
        <v>98</v>
      </c>
      <c r="C63" t="s">
        <v>97</v>
      </c>
      <c r="D63" t="s">
        <v>98</v>
      </c>
      <c r="E63" t="s">
        <v>98</v>
      </c>
      <c r="F63" t="s">
        <v>87</v>
      </c>
    </row>
    <row r="64" spans="1:6">
      <c r="A64">
        <v>63</v>
      </c>
      <c r="B64" t="s">
        <v>98</v>
      </c>
      <c r="C64" t="s">
        <v>97</v>
      </c>
      <c r="D64" t="s">
        <v>98</v>
      </c>
      <c r="E64" t="s">
        <v>98</v>
      </c>
      <c r="F64" t="s">
        <v>87</v>
      </c>
    </row>
    <row r="65" spans="1:6">
      <c r="A65">
        <v>64</v>
      </c>
      <c r="B65" t="s">
        <v>98</v>
      </c>
      <c r="C65" t="s">
        <v>98</v>
      </c>
      <c r="D65" t="s">
        <v>98</v>
      </c>
      <c r="E65" t="s">
        <v>98</v>
      </c>
      <c r="F65" t="s">
        <v>87</v>
      </c>
    </row>
    <row r="66" spans="1:6">
      <c r="A66">
        <v>65</v>
      </c>
      <c r="B66" t="s">
        <v>98</v>
      </c>
      <c r="C66" t="s">
        <v>98</v>
      </c>
      <c r="D66" t="s">
        <v>98</v>
      </c>
      <c r="E66" t="s">
        <v>98</v>
      </c>
      <c r="F66" t="s">
        <v>87</v>
      </c>
    </row>
    <row r="67" spans="1:6">
      <c r="A67">
        <v>66</v>
      </c>
      <c r="B67" t="s">
        <v>98</v>
      </c>
      <c r="C67" t="s">
        <v>98</v>
      </c>
      <c r="D67" t="s">
        <v>98</v>
      </c>
      <c r="E67" t="s">
        <v>98</v>
      </c>
      <c r="F67" t="s">
        <v>87</v>
      </c>
    </row>
    <row r="68" spans="1:6">
      <c r="A68">
        <v>67</v>
      </c>
      <c r="B68" t="s">
        <v>98</v>
      </c>
      <c r="C68" t="s">
        <v>98</v>
      </c>
      <c r="D68" t="s">
        <v>98</v>
      </c>
      <c r="E68" t="s">
        <v>98</v>
      </c>
      <c r="F68" t="s">
        <v>87</v>
      </c>
    </row>
    <row r="69" spans="1:6">
      <c r="A69">
        <v>68</v>
      </c>
      <c r="B69" t="s">
        <v>98</v>
      </c>
      <c r="C69" t="s">
        <v>98</v>
      </c>
      <c r="D69" t="s">
        <v>98</v>
      </c>
      <c r="E69" t="s">
        <v>98</v>
      </c>
      <c r="F69" t="s">
        <v>87</v>
      </c>
    </row>
    <row r="70" spans="1:6">
      <c r="A70">
        <v>69</v>
      </c>
      <c r="B70" t="s">
        <v>98</v>
      </c>
      <c r="C70" t="s">
        <v>98</v>
      </c>
      <c r="D70" t="s">
        <v>98</v>
      </c>
      <c r="E70" t="s">
        <v>98</v>
      </c>
      <c r="F70" t="s">
        <v>87</v>
      </c>
    </row>
    <row r="71" spans="1:6">
      <c r="A71">
        <v>70</v>
      </c>
      <c r="B71" t="s">
        <v>98</v>
      </c>
      <c r="C71" t="s">
        <v>98</v>
      </c>
      <c r="D71" t="s">
        <v>98</v>
      </c>
      <c r="E71" t="s">
        <v>98</v>
      </c>
      <c r="F71" t="s">
        <v>87</v>
      </c>
    </row>
    <row r="72" spans="1:6">
      <c r="A72">
        <v>71</v>
      </c>
      <c r="B72" t="s">
        <v>98</v>
      </c>
      <c r="C72" t="s">
        <v>98</v>
      </c>
      <c r="D72" t="s">
        <v>99</v>
      </c>
      <c r="E72" t="s">
        <v>98</v>
      </c>
      <c r="F72" t="s">
        <v>66</v>
      </c>
    </row>
    <row r="73" spans="1:6">
      <c r="A73">
        <v>72</v>
      </c>
      <c r="B73" t="s">
        <v>98</v>
      </c>
      <c r="C73" t="s">
        <v>99</v>
      </c>
      <c r="D73" t="s">
        <v>98</v>
      </c>
      <c r="E73" t="s">
        <v>98</v>
      </c>
      <c r="F73" t="s">
        <v>66</v>
      </c>
    </row>
    <row r="74" spans="1:6">
      <c r="A74">
        <v>73</v>
      </c>
      <c r="B74" t="s">
        <v>98</v>
      </c>
      <c r="C74" t="s">
        <v>99</v>
      </c>
      <c r="D74" t="s">
        <v>98</v>
      </c>
      <c r="E74" t="s">
        <v>98</v>
      </c>
      <c r="F74" t="s">
        <v>87</v>
      </c>
    </row>
    <row r="75" spans="1:6">
      <c r="A75">
        <v>74</v>
      </c>
      <c r="B75" t="s">
        <v>98</v>
      </c>
      <c r="C75" t="s">
        <v>99</v>
      </c>
      <c r="D75" t="s">
        <v>98</v>
      </c>
      <c r="E75" t="s">
        <v>98</v>
      </c>
      <c r="F75" t="s">
        <v>87</v>
      </c>
    </row>
    <row r="76" spans="1:6">
      <c r="A76">
        <v>75</v>
      </c>
      <c r="B76" t="s">
        <v>98</v>
      </c>
      <c r="C76" t="s">
        <v>99</v>
      </c>
      <c r="D76" t="s">
        <v>98</v>
      </c>
      <c r="E76" t="s">
        <v>98</v>
      </c>
      <c r="F76" t="s">
        <v>87</v>
      </c>
    </row>
    <row r="77" spans="1:6">
      <c r="A77">
        <v>76</v>
      </c>
      <c r="B77" t="s">
        <v>98</v>
      </c>
      <c r="C77" t="s">
        <v>99</v>
      </c>
      <c r="D77" t="s">
        <v>98</v>
      </c>
      <c r="E77" t="s">
        <v>98</v>
      </c>
      <c r="F77" t="s">
        <v>87</v>
      </c>
    </row>
    <row r="78" spans="1:6">
      <c r="A78">
        <v>77</v>
      </c>
      <c r="B78" t="s">
        <v>98</v>
      </c>
      <c r="C78" t="s">
        <v>99</v>
      </c>
      <c r="D78" t="s">
        <v>98</v>
      </c>
      <c r="E78" t="s">
        <v>98</v>
      </c>
      <c r="F78" t="s">
        <v>87</v>
      </c>
    </row>
    <row r="79" spans="1:6">
      <c r="A79">
        <v>78</v>
      </c>
      <c r="B79" t="s">
        <v>98</v>
      </c>
      <c r="C79" t="s">
        <v>99</v>
      </c>
      <c r="D79" t="s">
        <v>98</v>
      </c>
      <c r="E79" t="s">
        <v>98</v>
      </c>
      <c r="F79" t="s">
        <v>87</v>
      </c>
    </row>
    <row r="80" spans="1:6">
      <c r="A80">
        <v>79</v>
      </c>
      <c r="B80" t="s">
        <v>98</v>
      </c>
      <c r="C80" t="s">
        <v>99</v>
      </c>
      <c r="D80" t="s">
        <v>98</v>
      </c>
      <c r="E80" t="s">
        <v>98</v>
      </c>
      <c r="F80" t="s">
        <v>87</v>
      </c>
    </row>
    <row r="81" spans="1:6">
      <c r="A81">
        <v>80</v>
      </c>
      <c r="B81" t="s">
        <v>98</v>
      </c>
      <c r="C81" t="s">
        <v>99</v>
      </c>
      <c r="D81" t="s">
        <v>98</v>
      </c>
      <c r="E81" t="s">
        <v>98</v>
      </c>
      <c r="F81" t="s">
        <v>87</v>
      </c>
    </row>
    <row r="82" spans="1:6">
      <c r="A82">
        <v>81</v>
      </c>
      <c r="B82" t="s">
        <v>98</v>
      </c>
      <c r="C82" t="s">
        <v>99</v>
      </c>
      <c r="D82" t="s">
        <v>98</v>
      </c>
      <c r="E82" t="s">
        <v>98</v>
      </c>
      <c r="F82" t="s">
        <v>87</v>
      </c>
    </row>
    <row r="83" spans="1:6">
      <c r="A83">
        <v>82</v>
      </c>
      <c r="B83" t="s">
        <v>98</v>
      </c>
      <c r="C83" t="s">
        <v>99</v>
      </c>
      <c r="D83" t="s">
        <v>98</v>
      </c>
      <c r="E83" t="s">
        <v>98</v>
      </c>
      <c r="F83" t="s">
        <v>87</v>
      </c>
    </row>
    <row r="84" spans="1:6">
      <c r="A84">
        <v>83</v>
      </c>
      <c r="B84" t="s">
        <v>98</v>
      </c>
      <c r="C84" t="s">
        <v>99</v>
      </c>
      <c r="D84" t="s">
        <v>98</v>
      </c>
      <c r="E84" t="s">
        <v>98</v>
      </c>
      <c r="F84" t="s">
        <v>87</v>
      </c>
    </row>
    <row r="85" spans="1:6">
      <c r="A85">
        <v>84</v>
      </c>
      <c r="B85" t="s">
        <v>98</v>
      </c>
      <c r="C85" t="s">
        <v>99</v>
      </c>
      <c r="D85" t="s">
        <v>98</v>
      </c>
      <c r="E85" t="s">
        <v>98</v>
      </c>
      <c r="F85" t="s">
        <v>87</v>
      </c>
    </row>
    <row r="86" spans="1:6">
      <c r="A86">
        <v>85</v>
      </c>
      <c r="B86" t="s">
        <v>98</v>
      </c>
      <c r="C86" t="s">
        <v>99</v>
      </c>
      <c r="D86" t="s">
        <v>98</v>
      </c>
      <c r="E86" t="s">
        <v>98</v>
      </c>
      <c r="F86" t="s">
        <v>87</v>
      </c>
    </row>
    <row r="87" spans="1:6">
      <c r="A87">
        <v>86</v>
      </c>
      <c r="B87" t="s">
        <v>98</v>
      </c>
      <c r="C87" t="s">
        <v>99</v>
      </c>
      <c r="D87" t="s">
        <v>98</v>
      </c>
      <c r="E87" t="s">
        <v>98</v>
      </c>
      <c r="F87" t="s">
        <v>87</v>
      </c>
    </row>
    <row r="88" spans="1:6">
      <c r="A88">
        <v>87</v>
      </c>
      <c r="B88" t="s">
        <v>98</v>
      </c>
      <c r="C88" t="s">
        <v>99</v>
      </c>
      <c r="D88" t="s">
        <v>98</v>
      </c>
      <c r="E88" t="s">
        <v>98</v>
      </c>
      <c r="F88" t="s">
        <v>87</v>
      </c>
    </row>
    <row r="89" spans="1:6">
      <c r="A89">
        <v>88</v>
      </c>
      <c r="B89" t="s">
        <v>98</v>
      </c>
      <c r="C89" t="s">
        <v>99</v>
      </c>
      <c r="D89" t="s">
        <v>98</v>
      </c>
      <c r="E89" t="s">
        <v>98</v>
      </c>
      <c r="F89" t="s">
        <v>87</v>
      </c>
    </row>
    <row r="90" spans="1:6">
      <c r="A90">
        <v>89</v>
      </c>
      <c r="B90" t="s">
        <v>98</v>
      </c>
      <c r="C90" t="s">
        <v>99</v>
      </c>
      <c r="D90" t="s">
        <v>98</v>
      </c>
      <c r="E90" t="s">
        <v>98</v>
      </c>
      <c r="F90" t="s">
        <v>87</v>
      </c>
    </row>
    <row r="91" spans="1:6">
      <c r="A91">
        <v>90</v>
      </c>
      <c r="B91" t="s">
        <v>98</v>
      </c>
      <c r="C91" t="s">
        <v>99</v>
      </c>
      <c r="D91" t="s">
        <v>98</v>
      </c>
      <c r="E91" t="s">
        <v>98</v>
      </c>
      <c r="F91" t="s">
        <v>87</v>
      </c>
    </row>
    <row r="92" spans="1:6">
      <c r="A92">
        <v>91</v>
      </c>
      <c r="B92" t="s">
        <v>98</v>
      </c>
      <c r="C92" t="s">
        <v>97</v>
      </c>
      <c r="D92" t="s">
        <v>98</v>
      </c>
      <c r="E92" t="s">
        <v>99</v>
      </c>
      <c r="F92" t="s">
        <v>66</v>
      </c>
    </row>
    <row r="93" spans="1:6">
      <c r="A93">
        <v>92</v>
      </c>
      <c r="B93" t="s">
        <v>98</v>
      </c>
      <c r="C93" t="s">
        <v>97</v>
      </c>
      <c r="D93" t="s">
        <v>98</v>
      </c>
      <c r="E93" t="s">
        <v>99</v>
      </c>
      <c r="F93" t="s">
        <v>87</v>
      </c>
    </row>
    <row r="94" spans="1:6">
      <c r="A94">
        <v>93</v>
      </c>
      <c r="B94" t="s">
        <v>98</v>
      </c>
      <c r="C94" t="s">
        <v>97</v>
      </c>
      <c r="D94" t="s">
        <v>99</v>
      </c>
      <c r="E94" t="s">
        <v>99</v>
      </c>
      <c r="F94" t="s">
        <v>66</v>
      </c>
    </row>
    <row r="95" spans="1:6">
      <c r="A95">
        <v>94</v>
      </c>
      <c r="B95" t="s">
        <v>98</v>
      </c>
      <c r="C95" t="s">
        <v>97</v>
      </c>
      <c r="D95" t="s">
        <v>99</v>
      </c>
      <c r="E95" t="s">
        <v>99</v>
      </c>
      <c r="F95" t="s">
        <v>66</v>
      </c>
    </row>
    <row r="96" spans="1:6">
      <c r="A96">
        <v>95</v>
      </c>
      <c r="B96" t="s">
        <v>98</v>
      </c>
      <c r="C96" t="s">
        <v>97</v>
      </c>
      <c r="D96" t="s">
        <v>99</v>
      </c>
      <c r="E96" t="s">
        <v>99</v>
      </c>
      <c r="F96" t="s">
        <v>66</v>
      </c>
    </row>
    <row r="97" spans="1:6">
      <c r="A97">
        <v>96</v>
      </c>
      <c r="B97" t="s">
        <v>98</v>
      </c>
      <c r="C97" t="s">
        <v>97</v>
      </c>
      <c r="D97" t="s">
        <v>99</v>
      </c>
      <c r="E97" t="s">
        <v>99</v>
      </c>
      <c r="F97" t="s">
        <v>66</v>
      </c>
    </row>
    <row r="98" spans="1:6">
      <c r="A98">
        <v>97</v>
      </c>
      <c r="B98" t="s">
        <v>98</v>
      </c>
      <c r="C98" t="s">
        <v>97</v>
      </c>
      <c r="D98" t="s">
        <v>99</v>
      </c>
      <c r="E98" t="s">
        <v>99</v>
      </c>
      <c r="F98" t="s">
        <v>66</v>
      </c>
    </row>
    <row r="99" spans="1:6">
      <c r="A99">
        <v>98</v>
      </c>
      <c r="B99" t="s">
        <v>98</v>
      </c>
      <c r="C99" t="s">
        <v>99</v>
      </c>
      <c r="D99" t="s">
        <v>98</v>
      </c>
      <c r="E99" t="s">
        <v>99</v>
      </c>
      <c r="F99" t="s">
        <v>66</v>
      </c>
    </row>
    <row r="100" spans="1:6">
      <c r="A100">
        <v>99</v>
      </c>
      <c r="B100" t="s">
        <v>98</v>
      </c>
      <c r="C100" t="s">
        <v>99</v>
      </c>
      <c r="D100" t="s">
        <v>99</v>
      </c>
      <c r="E100" t="s">
        <v>99</v>
      </c>
      <c r="F100" t="s">
        <v>66</v>
      </c>
    </row>
    <row r="101" spans="1:6">
      <c r="A101">
        <v>100</v>
      </c>
      <c r="B101" t="s">
        <v>98</v>
      </c>
      <c r="C101" t="s">
        <v>99</v>
      </c>
      <c r="D101" t="s">
        <v>99</v>
      </c>
      <c r="E101" t="s">
        <v>99</v>
      </c>
      <c r="F101" t="s">
        <v>66</v>
      </c>
    </row>
    <row r="102" spans="1:6">
      <c r="A102">
        <v>101</v>
      </c>
      <c r="B102" t="s">
        <v>98</v>
      </c>
      <c r="C102" t="s">
        <v>99</v>
      </c>
      <c r="D102" t="s">
        <v>99</v>
      </c>
      <c r="E102" t="s">
        <v>99</v>
      </c>
      <c r="F102" t="s">
        <v>66</v>
      </c>
    </row>
    <row r="103" spans="1:6">
      <c r="A103">
        <v>102</v>
      </c>
      <c r="B103" t="s">
        <v>98</v>
      </c>
      <c r="C103" t="s">
        <v>99</v>
      </c>
      <c r="D103" t="s">
        <v>99</v>
      </c>
      <c r="E103" t="s">
        <v>99</v>
      </c>
      <c r="F103" t="s">
        <v>66</v>
      </c>
    </row>
    <row r="104" spans="1:6">
      <c r="A104">
        <v>103</v>
      </c>
      <c r="B104" t="s">
        <v>98</v>
      </c>
      <c r="C104" t="s">
        <v>99</v>
      </c>
      <c r="D104" t="s">
        <v>99</v>
      </c>
      <c r="E104" t="s">
        <v>99</v>
      </c>
      <c r="F104" t="s">
        <v>66</v>
      </c>
    </row>
    <row r="105" spans="1:6">
      <c r="A105">
        <v>104</v>
      </c>
      <c r="B105" t="s">
        <v>99</v>
      </c>
      <c r="C105" t="s">
        <v>98</v>
      </c>
      <c r="D105" t="s">
        <v>97</v>
      </c>
      <c r="E105" t="s">
        <v>97</v>
      </c>
      <c r="F105" t="s">
        <v>23</v>
      </c>
    </row>
    <row r="106" spans="1:6">
      <c r="A106">
        <v>105</v>
      </c>
      <c r="B106" t="s">
        <v>99</v>
      </c>
      <c r="C106" t="s">
        <v>98</v>
      </c>
      <c r="D106" t="s">
        <v>97</v>
      </c>
      <c r="E106" t="s">
        <v>97</v>
      </c>
      <c r="F106" t="s">
        <v>23</v>
      </c>
    </row>
    <row r="107" spans="1:6">
      <c r="A107">
        <v>106</v>
      </c>
      <c r="B107" t="s">
        <v>99</v>
      </c>
      <c r="C107" t="s">
        <v>98</v>
      </c>
      <c r="D107" t="s">
        <v>97</v>
      </c>
      <c r="E107" t="s">
        <v>97</v>
      </c>
      <c r="F107" t="s">
        <v>23</v>
      </c>
    </row>
    <row r="108" spans="1:6">
      <c r="A108">
        <v>107</v>
      </c>
      <c r="B108" t="s">
        <v>99</v>
      </c>
      <c r="C108" t="s">
        <v>98</v>
      </c>
      <c r="D108" t="s">
        <v>97</v>
      </c>
      <c r="E108" t="s">
        <v>97</v>
      </c>
      <c r="F108" t="s">
        <v>23</v>
      </c>
    </row>
    <row r="109" spans="1:6">
      <c r="A109">
        <v>108</v>
      </c>
      <c r="B109" t="s">
        <v>99</v>
      </c>
      <c r="C109" t="s">
        <v>98</v>
      </c>
      <c r="D109" t="s">
        <v>97</v>
      </c>
      <c r="E109" t="s">
        <v>97</v>
      </c>
      <c r="F109" t="s">
        <v>23</v>
      </c>
    </row>
    <row r="110" spans="1:6">
      <c r="A110">
        <v>109</v>
      </c>
      <c r="B110" t="s">
        <v>99</v>
      </c>
      <c r="C110" t="s">
        <v>97</v>
      </c>
      <c r="D110" t="s">
        <v>98</v>
      </c>
      <c r="E110" t="s">
        <v>98</v>
      </c>
      <c r="F110" t="s">
        <v>66</v>
      </c>
    </row>
    <row r="111" spans="1:6">
      <c r="A111">
        <v>110</v>
      </c>
      <c r="B111" t="s">
        <v>99</v>
      </c>
      <c r="C111" t="s">
        <v>97</v>
      </c>
      <c r="D111" t="s">
        <v>98</v>
      </c>
      <c r="E111" t="s">
        <v>98</v>
      </c>
      <c r="F111" t="s">
        <v>87</v>
      </c>
    </row>
    <row r="112" spans="1:6">
      <c r="A112">
        <v>111</v>
      </c>
      <c r="B112" t="s">
        <v>99</v>
      </c>
      <c r="C112" t="s">
        <v>97</v>
      </c>
      <c r="D112" t="s">
        <v>98</v>
      </c>
      <c r="E112" t="s">
        <v>98</v>
      </c>
      <c r="F112" t="s">
        <v>87</v>
      </c>
    </row>
    <row r="113" spans="1:6">
      <c r="A113">
        <v>112</v>
      </c>
      <c r="B113" t="s">
        <v>99</v>
      </c>
      <c r="C113" t="s">
        <v>97</v>
      </c>
      <c r="D113" t="s">
        <v>98</v>
      </c>
      <c r="E113" t="s">
        <v>98</v>
      </c>
      <c r="F113" t="s">
        <v>87</v>
      </c>
    </row>
    <row r="114" spans="1:6">
      <c r="A114">
        <v>113</v>
      </c>
      <c r="B114" t="s">
        <v>99</v>
      </c>
      <c r="C114" t="s">
        <v>97</v>
      </c>
      <c r="D114" t="s">
        <v>98</v>
      </c>
      <c r="E114" t="s">
        <v>98</v>
      </c>
      <c r="F114" t="s">
        <v>87</v>
      </c>
    </row>
    <row r="115" spans="1:6">
      <c r="A115">
        <v>114</v>
      </c>
      <c r="B115" t="s">
        <v>99</v>
      </c>
      <c r="C115" t="s">
        <v>97</v>
      </c>
      <c r="D115" t="s">
        <v>98</v>
      </c>
      <c r="E115" t="s">
        <v>98</v>
      </c>
      <c r="F115" t="s">
        <v>87</v>
      </c>
    </row>
    <row r="116" spans="1:6">
      <c r="A116">
        <v>115</v>
      </c>
      <c r="B116" t="s">
        <v>99</v>
      </c>
      <c r="C116" t="s">
        <v>97</v>
      </c>
      <c r="D116" t="s">
        <v>99</v>
      </c>
      <c r="E116" t="s">
        <v>98</v>
      </c>
      <c r="F116" t="s">
        <v>87</v>
      </c>
    </row>
    <row r="117" spans="1:6">
      <c r="A117">
        <v>116</v>
      </c>
      <c r="B117" t="s">
        <v>99</v>
      </c>
      <c r="C117" t="s">
        <v>98</v>
      </c>
      <c r="D117" t="s">
        <v>98</v>
      </c>
      <c r="E117" t="s">
        <v>98</v>
      </c>
      <c r="F117" t="s">
        <v>87</v>
      </c>
    </row>
    <row r="118" spans="1:6">
      <c r="A118">
        <v>117</v>
      </c>
      <c r="B118" t="s">
        <v>99</v>
      </c>
      <c r="C118" t="s">
        <v>98</v>
      </c>
      <c r="D118" t="s">
        <v>99</v>
      </c>
      <c r="E118" t="s">
        <v>98</v>
      </c>
      <c r="F118" t="s">
        <v>66</v>
      </c>
    </row>
    <row r="119" spans="1:6">
      <c r="A119">
        <v>118</v>
      </c>
      <c r="B119" t="s">
        <v>99</v>
      </c>
      <c r="C119" t="s">
        <v>99</v>
      </c>
      <c r="D119" t="s">
        <v>98</v>
      </c>
      <c r="E119" t="s">
        <v>98</v>
      </c>
      <c r="F119" t="s">
        <v>87</v>
      </c>
    </row>
    <row r="120" spans="1:6">
      <c r="A120">
        <v>119</v>
      </c>
      <c r="B120" t="s">
        <v>99</v>
      </c>
      <c r="C120" t="s">
        <v>99</v>
      </c>
      <c r="D120" t="s">
        <v>98</v>
      </c>
      <c r="E120" t="s">
        <v>98</v>
      </c>
      <c r="F120" t="s">
        <v>87</v>
      </c>
    </row>
    <row r="121" spans="1:6">
      <c r="A121">
        <v>120</v>
      </c>
      <c r="B121" t="s">
        <v>99</v>
      </c>
      <c r="C121" t="s">
        <v>99</v>
      </c>
      <c r="D121" t="s">
        <v>99</v>
      </c>
      <c r="E121" t="s">
        <v>98</v>
      </c>
      <c r="F121" t="s">
        <v>66</v>
      </c>
    </row>
    <row r="122" spans="1:6">
      <c r="A122">
        <v>121</v>
      </c>
      <c r="B122" t="s">
        <v>99</v>
      </c>
      <c r="C122" t="s">
        <v>99</v>
      </c>
      <c r="D122" t="s">
        <v>99</v>
      </c>
      <c r="E122" t="s">
        <v>98</v>
      </c>
      <c r="F122" t="s">
        <v>87</v>
      </c>
    </row>
    <row r="123" spans="1:6">
      <c r="A123">
        <v>122</v>
      </c>
      <c r="B123" t="s">
        <v>99</v>
      </c>
      <c r="C123" t="s">
        <v>97</v>
      </c>
      <c r="D123" t="s">
        <v>98</v>
      </c>
      <c r="E123" t="s">
        <v>99</v>
      </c>
      <c r="F123" t="s">
        <v>87</v>
      </c>
    </row>
    <row r="124" spans="1:6">
      <c r="A124">
        <v>123</v>
      </c>
      <c r="B124" t="s">
        <v>99</v>
      </c>
      <c r="C124" t="s">
        <v>97</v>
      </c>
      <c r="D124" t="s">
        <v>98</v>
      </c>
      <c r="E124" t="s">
        <v>99</v>
      </c>
      <c r="F124" t="s">
        <v>87</v>
      </c>
    </row>
    <row r="125" spans="1:6">
      <c r="A125">
        <v>124</v>
      </c>
      <c r="B125" t="s">
        <v>99</v>
      </c>
      <c r="C125" t="s">
        <v>97</v>
      </c>
      <c r="D125" t="s">
        <v>99</v>
      </c>
      <c r="E125" t="s">
        <v>99</v>
      </c>
      <c r="F125" t="s">
        <v>66</v>
      </c>
    </row>
    <row r="126" spans="1:6">
      <c r="A126">
        <v>125</v>
      </c>
      <c r="B126" t="s">
        <v>99</v>
      </c>
      <c r="C126" t="s">
        <v>97</v>
      </c>
      <c r="D126" t="s">
        <v>99</v>
      </c>
      <c r="E126" t="s">
        <v>99</v>
      </c>
      <c r="F126" t="s">
        <v>66</v>
      </c>
    </row>
    <row r="127" spans="1:6">
      <c r="A127">
        <v>126</v>
      </c>
      <c r="B127" t="s">
        <v>99</v>
      </c>
      <c r="C127" t="s">
        <v>97</v>
      </c>
      <c r="D127" t="s">
        <v>99</v>
      </c>
      <c r="E127" t="s">
        <v>99</v>
      </c>
      <c r="F127" t="s">
        <v>66</v>
      </c>
    </row>
    <row r="128" spans="1:6">
      <c r="A128">
        <v>127</v>
      </c>
      <c r="B128" t="s">
        <v>99</v>
      </c>
      <c r="C128" t="s">
        <v>97</v>
      </c>
      <c r="D128" t="s">
        <v>99</v>
      </c>
      <c r="E128" t="s">
        <v>99</v>
      </c>
      <c r="F128" t="s">
        <v>66</v>
      </c>
    </row>
    <row r="129" spans="1:6">
      <c r="A129">
        <v>128</v>
      </c>
      <c r="B129" t="s">
        <v>99</v>
      </c>
      <c r="C129" t="s">
        <v>97</v>
      </c>
      <c r="D129" t="s">
        <v>99</v>
      </c>
      <c r="E129" t="s">
        <v>99</v>
      </c>
      <c r="F129" t="s">
        <v>66</v>
      </c>
    </row>
    <row r="130" spans="1:6">
      <c r="A130">
        <v>129</v>
      </c>
      <c r="B130" t="s">
        <v>99</v>
      </c>
      <c r="C130" t="s">
        <v>97</v>
      </c>
      <c r="D130" t="s">
        <v>99</v>
      </c>
      <c r="E130" t="s">
        <v>99</v>
      </c>
      <c r="F130" t="s">
        <v>66</v>
      </c>
    </row>
    <row r="131" spans="1:6">
      <c r="A131">
        <v>130</v>
      </c>
      <c r="B131" t="s">
        <v>99</v>
      </c>
      <c r="C131" t="s">
        <v>97</v>
      </c>
      <c r="D131" t="s">
        <v>99</v>
      </c>
      <c r="E131" t="s">
        <v>99</v>
      </c>
      <c r="F131" t="s">
        <v>66</v>
      </c>
    </row>
    <row r="132" spans="1:6">
      <c r="A132">
        <v>131</v>
      </c>
      <c r="B132" t="s">
        <v>99</v>
      </c>
      <c r="C132" t="s">
        <v>97</v>
      </c>
      <c r="D132" t="s">
        <v>99</v>
      </c>
      <c r="E132" t="s">
        <v>99</v>
      </c>
      <c r="F132" t="s">
        <v>66</v>
      </c>
    </row>
    <row r="133" spans="1:6">
      <c r="A133">
        <v>132</v>
      </c>
      <c r="B133" t="s">
        <v>99</v>
      </c>
      <c r="C133" t="s">
        <v>97</v>
      </c>
      <c r="D133" t="s">
        <v>99</v>
      </c>
      <c r="E133" t="s">
        <v>99</v>
      </c>
      <c r="F133" t="s">
        <v>66</v>
      </c>
    </row>
    <row r="134" spans="1:6">
      <c r="A134">
        <v>133</v>
      </c>
      <c r="B134" t="s">
        <v>99</v>
      </c>
      <c r="C134" t="s">
        <v>97</v>
      </c>
      <c r="D134" t="s">
        <v>99</v>
      </c>
      <c r="E134" t="s">
        <v>99</v>
      </c>
      <c r="F134" t="s">
        <v>66</v>
      </c>
    </row>
    <row r="135" spans="1:6">
      <c r="A135">
        <v>134</v>
      </c>
      <c r="B135" t="s">
        <v>99</v>
      </c>
      <c r="C135" t="s">
        <v>97</v>
      </c>
      <c r="D135" t="s">
        <v>99</v>
      </c>
      <c r="E135" t="s">
        <v>99</v>
      </c>
      <c r="F135" t="s">
        <v>66</v>
      </c>
    </row>
    <row r="136" spans="1:6">
      <c r="A136">
        <v>135</v>
      </c>
      <c r="B136" t="s">
        <v>99</v>
      </c>
      <c r="C136" t="s">
        <v>97</v>
      </c>
      <c r="D136" t="s">
        <v>99</v>
      </c>
      <c r="E136" t="s">
        <v>99</v>
      </c>
      <c r="F136" t="s">
        <v>66</v>
      </c>
    </row>
    <row r="137" spans="1:6">
      <c r="A137">
        <v>136</v>
      </c>
      <c r="B137" t="s">
        <v>99</v>
      </c>
      <c r="C137" t="s">
        <v>97</v>
      </c>
      <c r="D137" t="s">
        <v>99</v>
      </c>
      <c r="E137" t="s">
        <v>99</v>
      </c>
      <c r="F137" t="s">
        <v>66</v>
      </c>
    </row>
    <row r="138" spans="1:6">
      <c r="A138">
        <v>137</v>
      </c>
      <c r="B138" t="s">
        <v>99</v>
      </c>
      <c r="C138" t="s">
        <v>97</v>
      </c>
      <c r="D138" t="s">
        <v>99</v>
      </c>
      <c r="E138" t="s">
        <v>99</v>
      </c>
      <c r="F138" t="s">
        <v>66</v>
      </c>
    </row>
    <row r="139" spans="1:6">
      <c r="A139">
        <v>138</v>
      </c>
      <c r="B139" t="s">
        <v>99</v>
      </c>
      <c r="C139" t="s">
        <v>97</v>
      </c>
      <c r="D139" t="s">
        <v>99</v>
      </c>
      <c r="E139" t="s">
        <v>99</v>
      </c>
      <c r="F139" t="s">
        <v>66</v>
      </c>
    </row>
    <row r="140" spans="1:6">
      <c r="A140">
        <v>139</v>
      </c>
      <c r="B140" t="s">
        <v>99</v>
      </c>
      <c r="C140" t="s">
        <v>97</v>
      </c>
      <c r="D140" t="s">
        <v>99</v>
      </c>
      <c r="E140" t="s">
        <v>99</v>
      </c>
      <c r="F140" t="s">
        <v>66</v>
      </c>
    </row>
    <row r="141" spans="1:6">
      <c r="A141">
        <v>140</v>
      </c>
      <c r="B141" t="s">
        <v>99</v>
      </c>
      <c r="C141" t="s">
        <v>97</v>
      </c>
      <c r="D141" t="s">
        <v>99</v>
      </c>
      <c r="E141" t="s">
        <v>99</v>
      </c>
      <c r="F141" t="s">
        <v>66</v>
      </c>
    </row>
    <row r="142" spans="1:6">
      <c r="A142">
        <v>141</v>
      </c>
      <c r="B142" t="s">
        <v>99</v>
      </c>
      <c r="C142" t="s">
        <v>97</v>
      </c>
      <c r="D142" t="s">
        <v>99</v>
      </c>
      <c r="E142" t="s">
        <v>99</v>
      </c>
      <c r="F142" t="s">
        <v>66</v>
      </c>
    </row>
    <row r="143" spans="1:6">
      <c r="A143">
        <v>142</v>
      </c>
      <c r="B143" t="s">
        <v>99</v>
      </c>
      <c r="C143" t="s">
        <v>97</v>
      </c>
      <c r="D143" t="s">
        <v>99</v>
      </c>
      <c r="E143" t="s">
        <v>99</v>
      </c>
      <c r="F143" t="s">
        <v>66</v>
      </c>
    </row>
    <row r="144" spans="1:6">
      <c r="A144">
        <v>143</v>
      </c>
      <c r="B144" t="s">
        <v>99</v>
      </c>
      <c r="C144" t="s">
        <v>97</v>
      </c>
      <c r="D144" t="s">
        <v>99</v>
      </c>
      <c r="E144" t="s">
        <v>99</v>
      </c>
      <c r="F144" t="s">
        <v>66</v>
      </c>
    </row>
    <row r="145" spans="1:6">
      <c r="A145">
        <v>144</v>
      </c>
      <c r="B145" t="s">
        <v>99</v>
      </c>
      <c r="C145" t="s">
        <v>97</v>
      </c>
      <c r="D145" t="s">
        <v>99</v>
      </c>
      <c r="E145" t="s">
        <v>99</v>
      </c>
      <c r="F145" t="s">
        <v>66</v>
      </c>
    </row>
    <row r="146" spans="1:6">
      <c r="A146">
        <v>145</v>
      </c>
      <c r="B146" t="s">
        <v>99</v>
      </c>
      <c r="C146" t="s">
        <v>97</v>
      </c>
      <c r="D146" t="s">
        <v>99</v>
      </c>
      <c r="E146" t="s">
        <v>99</v>
      </c>
      <c r="F146" t="s">
        <v>66</v>
      </c>
    </row>
    <row r="147" spans="1:6">
      <c r="A147">
        <v>146</v>
      </c>
      <c r="B147" t="s">
        <v>99</v>
      </c>
      <c r="C147" t="s">
        <v>99</v>
      </c>
      <c r="D147" t="s">
        <v>99</v>
      </c>
      <c r="E147" t="s">
        <v>99</v>
      </c>
      <c r="F147" t="s">
        <v>66</v>
      </c>
    </row>
    <row r="148" spans="1:6">
      <c r="A148">
        <v>147</v>
      </c>
      <c r="B148" t="s">
        <v>99</v>
      </c>
      <c r="C148" t="s">
        <v>99</v>
      </c>
      <c r="D148" t="s">
        <v>99</v>
      </c>
      <c r="E148" t="s">
        <v>99</v>
      </c>
      <c r="F148" t="s">
        <v>66</v>
      </c>
    </row>
    <row r="149" spans="1:6">
      <c r="A149">
        <v>148</v>
      </c>
      <c r="B149" t="s">
        <v>99</v>
      </c>
      <c r="C149" t="s">
        <v>99</v>
      </c>
      <c r="D149" t="s">
        <v>99</v>
      </c>
      <c r="E149" t="s">
        <v>99</v>
      </c>
      <c r="F149" t="s">
        <v>66</v>
      </c>
    </row>
    <row r="150" spans="1:6">
      <c r="A150">
        <v>149</v>
      </c>
      <c r="B150" t="s">
        <v>99</v>
      </c>
      <c r="C150" t="s">
        <v>99</v>
      </c>
      <c r="D150" t="s">
        <v>99</v>
      </c>
      <c r="E150" t="s">
        <v>99</v>
      </c>
      <c r="F150" t="s">
        <v>66</v>
      </c>
    </row>
    <row r="151" spans="1:6">
      <c r="A151">
        <v>150</v>
      </c>
      <c r="B151" t="s">
        <v>99</v>
      </c>
      <c r="C151" t="s">
        <v>99</v>
      </c>
      <c r="D151" t="s">
        <v>99</v>
      </c>
      <c r="E151" t="s">
        <v>99</v>
      </c>
      <c r="F151" t="s">
        <v>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/>
  </sheetViews>
  <sheetFormatPr baseColWidth="10" defaultColWidth="8.796875" defaultRowHeight="13.8"/>
  <cols>
    <col min="1" max="9" width="17" customWidth="1"/>
  </cols>
  <sheetData>
    <row r="1" spans="1:9" ht="17.399999999999999">
      <c r="A1" s="9" t="s">
        <v>100</v>
      </c>
      <c r="B1" s="10"/>
      <c r="C1" s="10"/>
      <c r="D1" s="10"/>
      <c r="E1" s="10"/>
      <c r="F1" s="10"/>
      <c r="G1" s="12"/>
      <c r="H1" s="12"/>
      <c r="I1" s="12"/>
    </row>
    <row r="3" spans="1:9">
      <c r="A3" s="1" t="s">
        <v>101</v>
      </c>
      <c r="B3" s="1" t="s">
        <v>102</v>
      </c>
    </row>
    <row r="4" spans="1:9">
      <c r="A4" t="s">
        <v>23</v>
      </c>
      <c r="B4">
        <f>COUNTIF(disc_a1!$F$2:$F$151,A4)</f>
        <v>50</v>
      </c>
    </row>
    <row r="5" spans="1:9">
      <c r="A5" t="s">
        <v>87</v>
      </c>
      <c r="B5">
        <f>COUNTIF(disc_a1!$F$2:$F$151,A5)</f>
        <v>50</v>
      </c>
    </row>
    <row r="6" spans="1:9">
      <c r="A6" t="s">
        <v>66</v>
      </c>
      <c r="B6">
        <f>COUNTIF(disc_a1!$F$2:$F$151,A6)</f>
        <v>50</v>
      </c>
    </row>
    <row r="7" spans="1:9">
      <c r="A7" s="3" t="s">
        <v>103</v>
      </c>
      <c r="B7">
        <f>SUM(B4:B6)</f>
        <v>150</v>
      </c>
    </row>
    <row r="8" spans="1:9">
      <c r="A8" s="3" t="s">
        <v>104</v>
      </c>
      <c r="B8" s="5">
        <f>-(B4/B7)*LOG(B4/B7,2)-(B5/B7)*LOG(B5/B7,2)-(B6/B7)*LOG(B6/B7,2)</f>
        <v>1.5849625007211561</v>
      </c>
      <c r="C8" s="5"/>
      <c r="D8" s="5"/>
    </row>
    <row r="9" spans="1:9">
      <c r="A9" s="3" t="s">
        <v>105</v>
      </c>
      <c r="B9" s="6" t="s">
        <v>17</v>
      </c>
      <c r="C9" s="5"/>
      <c r="D9" s="5"/>
    </row>
    <row r="10" spans="1:9">
      <c r="B10" s="5"/>
      <c r="C10" s="5"/>
      <c r="D10" s="5"/>
    </row>
    <row r="11" spans="1:9">
      <c r="A11" s="1" t="s">
        <v>106</v>
      </c>
      <c r="B11" s="7" t="s">
        <v>107</v>
      </c>
      <c r="C11" s="7" t="s">
        <v>108</v>
      </c>
      <c r="D11" s="7" t="s">
        <v>109</v>
      </c>
      <c r="E11" s="1" t="s">
        <v>110</v>
      </c>
      <c r="F11" s="1" t="s">
        <v>111</v>
      </c>
      <c r="G11" s="1" t="s">
        <v>112</v>
      </c>
      <c r="H11" s="1" t="s">
        <v>113</v>
      </c>
      <c r="I11" s="1" t="s">
        <v>114</v>
      </c>
    </row>
    <row r="12" spans="1:9">
      <c r="A12" t="s">
        <v>14</v>
      </c>
      <c r="B12" s="5" t="s">
        <v>97</v>
      </c>
      <c r="C12" s="5">
        <f>COUNTIF(disc_a1!$B$2:$B$151,B12)</f>
        <v>52</v>
      </c>
      <c r="D12" s="5">
        <f>COUNTIFS(disc_a1!$B$2:$B$151,$B12,disc_a1!$F$2:$F$151,"Iris-setosa")</f>
        <v>45</v>
      </c>
      <c r="E12">
        <f>COUNTIFS(disc_a1!$B$2:$B$151,$B12,disc_a1!$F$2:$F$151,"Iris-virginica")</f>
        <v>1</v>
      </c>
      <c r="F12">
        <f>COUNTIFS(disc_a1!$B$2:$B$151,$B12,disc_a1!$F$2:$F$151,"Iris-versicolor")</f>
        <v>6</v>
      </c>
      <c r="G12">
        <f t="shared" ref="G12:G23" si="0">IF(C12=0,0,IF(D12=0,0,-(D12/C12)*LOG(D12/C12,2))+IF(E12=0,0,-(E12/C12)*LOG(E12/C12,2))+IF(F12=0,0,-(F12/C12)*LOG(F12/C12,2)))</f>
        <v>0.64960963469566324</v>
      </c>
      <c r="H12">
        <f t="shared" ref="H12:H23" si="1">C12/$B$7</f>
        <v>0.34666666666666668</v>
      </c>
      <c r="I12">
        <f t="shared" ref="I12:I23" si="2">H12*G12</f>
        <v>0.22519800669449661</v>
      </c>
    </row>
    <row r="13" spans="1:9">
      <c r="A13" t="s">
        <v>14</v>
      </c>
      <c r="B13" s="5" t="s">
        <v>99</v>
      </c>
      <c r="C13" s="5">
        <f>COUNTIF(disc_a1!$B$2:$B$151,B13)</f>
        <v>47</v>
      </c>
      <c r="D13" s="5">
        <f>COUNTIFS(disc_a1!$B$2:$B$151,$B13,disc_a1!$F$2:$F$151,"Iris-setosa")</f>
        <v>5</v>
      </c>
      <c r="E13">
        <f>COUNTIFS(disc_a1!$B$2:$B$151,$B13,disc_a1!$F$2:$F$151,"Iris-virginica")</f>
        <v>12</v>
      </c>
      <c r="F13">
        <f>COUNTIFS(disc_a1!$B$2:$B$151,$B13,disc_a1!$F$2:$F$151,"Iris-versicolor")</f>
        <v>30</v>
      </c>
      <c r="G13">
        <f t="shared" si="0"/>
        <v>1.2602078229255897</v>
      </c>
      <c r="H13">
        <f t="shared" si="1"/>
        <v>0.31333333333333335</v>
      </c>
      <c r="I13">
        <f t="shared" si="2"/>
        <v>0.39486511785001815</v>
      </c>
    </row>
    <row r="14" spans="1:9">
      <c r="A14" t="s">
        <v>14</v>
      </c>
      <c r="B14" s="5" t="s">
        <v>98</v>
      </c>
      <c r="C14" s="5">
        <f>COUNTIF(disc_a1!$B$2:$B$151,B14)</f>
        <v>51</v>
      </c>
      <c r="D14" s="5">
        <f>COUNTIFS(disc_a1!$B$2:$B$151,$B14,disc_a1!$F$2:$F$151,"Iris-setosa")</f>
        <v>0</v>
      </c>
      <c r="E14">
        <f>COUNTIFS(disc_a1!$B$2:$B$151,$B14,disc_a1!$F$2:$F$151,"Iris-virginica")</f>
        <v>37</v>
      </c>
      <c r="F14">
        <f>COUNTIFS(disc_a1!$B$2:$B$151,$B14,disc_a1!$F$2:$F$151,"Iris-versicolor")</f>
        <v>14</v>
      </c>
      <c r="G14">
        <f t="shared" si="0"/>
        <v>0.84786174516605262</v>
      </c>
      <c r="H14">
        <f t="shared" si="1"/>
        <v>0.34</v>
      </c>
      <c r="I14">
        <f t="shared" si="2"/>
        <v>0.2882729933564579</v>
      </c>
    </row>
    <row r="15" spans="1:9">
      <c r="A15" t="s">
        <v>15</v>
      </c>
      <c r="B15" s="5" t="s">
        <v>97</v>
      </c>
      <c r="C15" s="5">
        <f>COUNTIF(disc_a1!$C$2:$C$151,B15)</f>
        <v>57</v>
      </c>
      <c r="D15" s="5">
        <f>COUNTIFS(disc_a1!$C$2:$C$151,$B15,disc_a1!$F$2:$F$151,"Iris-setosa")</f>
        <v>2</v>
      </c>
      <c r="E15">
        <f>COUNTIFS(disc_a1!$C$2:$C$151,$B15,disc_a1!$F$2:$F$151,"Iris-virginica")</f>
        <v>21</v>
      </c>
      <c r="F15">
        <f>COUNTIFS(disc_a1!$C$2:$C$151,$B15,disc_a1!$F$2:$F$151,"Iris-versicolor")</f>
        <v>34</v>
      </c>
      <c r="G15">
        <f t="shared" si="0"/>
        <v>1.1449531285355223</v>
      </c>
      <c r="H15">
        <f t="shared" si="1"/>
        <v>0.38</v>
      </c>
      <c r="I15">
        <f t="shared" si="2"/>
        <v>0.43508218884349847</v>
      </c>
    </row>
    <row r="16" spans="1:9">
      <c r="A16" t="s">
        <v>15</v>
      </c>
      <c r="B16" s="5" t="s">
        <v>99</v>
      </c>
      <c r="C16" s="5">
        <f>COUNTIF(disc_a1!$C$2:$C$151,B16)</f>
        <v>51</v>
      </c>
      <c r="D16" s="5">
        <f>COUNTIFS(disc_a1!$C$2:$C$151,$B16,disc_a1!$F$2:$F$151,"Iris-setosa")</f>
        <v>16</v>
      </c>
      <c r="E16">
        <f>COUNTIFS(disc_a1!$C$2:$C$151,$B16,disc_a1!$F$2:$F$151,"Iris-virginica")</f>
        <v>21</v>
      </c>
      <c r="F16">
        <f>COUNTIFS(disc_a1!$C$2:$C$151,$B16,disc_a1!$F$2:$F$151,"Iris-versicolor")</f>
        <v>14</v>
      </c>
      <c r="G16">
        <f t="shared" si="0"/>
        <v>1.5637658363408993</v>
      </c>
      <c r="H16">
        <f t="shared" si="1"/>
        <v>0.34</v>
      </c>
      <c r="I16">
        <f t="shared" si="2"/>
        <v>0.53168038435590581</v>
      </c>
    </row>
    <row r="17" spans="1:9">
      <c r="A17" t="s">
        <v>15</v>
      </c>
      <c r="B17" s="5" t="s">
        <v>98</v>
      </c>
      <c r="C17" s="5">
        <f>COUNTIF(disc_a1!$C$2:$C$151,B17)</f>
        <v>42</v>
      </c>
      <c r="D17" s="5">
        <f>COUNTIFS(disc_a1!$C$2:$C$151,$B17,disc_a1!$F$2:$F$151,"Iris-setosa")</f>
        <v>32</v>
      </c>
      <c r="E17">
        <f>COUNTIFS(disc_a1!$C$2:$C$151,$B17,disc_a1!$F$2:$F$151,"Iris-virginica")</f>
        <v>8</v>
      </c>
      <c r="F17">
        <f>COUNTIFS(disc_a1!$C$2:$C$151,$B17,disc_a1!$F$2:$F$151,"Iris-versicolor")</f>
        <v>2</v>
      </c>
      <c r="G17">
        <f t="shared" si="0"/>
        <v>0.96374599420733176</v>
      </c>
      <c r="H17">
        <f t="shared" si="1"/>
        <v>0.28000000000000003</v>
      </c>
      <c r="I17">
        <f t="shared" si="2"/>
        <v>0.26984887837805294</v>
      </c>
    </row>
    <row r="18" spans="1:9">
      <c r="A18" t="s">
        <v>16</v>
      </c>
      <c r="B18" s="5" t="s">
        <v>97</v>
      </c>
      <c r="C18" s="5">
        <f>COUNTIF(disc_a1!$D$2:$D$151,B18)</f>
        <v>51</v>
      </c>
      <c r="D18" s="5">
        <f>COUNTIFS(disc_a1!$D$2:$D$151,$B18,disc_a1!$F$2:$F$151,"Iris-setosa")</f>
        <v>50</v>
      </c>
      <c r="E18">
        <f>COUNTIFS(disc_a1!$D$2:$D$151,$B18,disc_a1!$F$2:$F$151,"Iris-virginica")</f>
        <v>0</v>
      </c>
      <c r="F18">
        <f>COUNTIFS(disc_a1!$D$2:$D$151,$B18,disc_a1!$F$2:$F$151,"Iris-versicolor")</f>
        <v>1</v>
      </c>
      <c r="G18">
        <f t="shared" si="0"/>
        <v>0.13923299905509889</v>
      </c>
      <c r="H18">
        <f t="shared" si="1"/>
        <v>0.34</v>
      </c>
      <c r="I18">
        <f t="shared" si="2"/>
        <v>4.7339219678733627E-2</v>
      </c>
    </row>
    <row r="19" spans="1:9">
      <c r="A19" t="s">
        <v>16</v>
      </c>
      <c r="B19" s="5" t="s">
        <v>99</v>
      </c>
      <c r="C19" s="5">
        <f>COUNTIF(disc_a1!$D$2:$D$151,B19)</f>
        <v>48</v>
      </c>
      <c r="D19" s="5">
        <f>COUNTIFS(disc_a1!$D$2:$D$151,$B19,disc_a1!$F$2:$F$151,"Iris-setosa")</f>
        <v>0</v>
      </c>
      <c r="E19">
        <f>COUNTIFS(disc_a1!$D$2:$D$151,$B19,disc_a1!$F$2:$F$151,"Iris-virginica")</f>
        <v>3</v>
      </c>
      <c r="F19">
        <f>COUNTIFS(disc_a1!$D$2:$D$151,$B19,disc_a1!$F$2:$F$151,"Iris-versicolor")</f>
        <v>45</v>
      </c>
      <c r="G19">
        <f t="shared" si="0"/>
        <v>0.33729006661701388</v>
      </c>
      <c r="H19">
        <f t="shared" si="1"/>
        <v>0.32</v>
      </c>
      <c r="I19">
        <f t="shared" si="2"/>
        <v>0.10793282131744444</v>
      </c>
    </row>
    <row r="20" spans="1:9">
      <c r="A20" t="s">
        <v>16</v>
      </c>
      <c r="B20" s="5" t="s">
        <v>98</v>
      </c>
      <c r="C20" s="5">
        <f>COUNTIF(disc_a1!$D$2:$D$151,B20)</f>
        <v>51</v>
      </c>
      <c r="D20" s="5">
        <f>COUNTIFS(disc_a1!$D$2:$D$151,$B20,disc_a1!$F$2:$F$151,"Iris-setosa")</f>
        <v>0</v>
      </c>
      <c r="E20">
        <f>COUNTIFS(disc_a1!$D$2:$D$151,$B20,disc_a1!$F$2:$F$151,"Iris-virginica")</f>
        <v>47</v>
      </c>
      <c r="F20">
        <f>COUNTIFS(disc_a1!$D$2:$D$151,$B20,disc_a1!$F$2:$F$151,"Iris-versicolor")</f>
        <v>4</v>
      </c>
      <c r="G20">
        <f t="shared" si="0"/>
        <v>0.39662777277837891</v>
      </c>
      <c r="H20">
        <f t="shared" si="1"/>
        <v>0.34</v>
      </c>
      <c r="I20">
        <f t="shared" si="2"/>
        <v>0.13485344274464883</v>
      </c>
    </row>
    <row r="21" spans="1:9">
      <c r="A21" t="s">
        <v>17</v>
      </c>
      <c r="B21" s="5" t="s">
        <v>97</v>
      </c>
      <c r="C21" s="5">
        <f>COUNTIF(disc_a1!$E$2:$E$151,B21)</f>
        <v>50</v>
      </c>
      <c r="D21" s="5">
        <f>COUNTIFS(disc_a1!$E$2:$E$151,$B21,disc_a1!$F$2:$F$151,"Iris-setosa")</f>
        <v>50</v>
      </c>
      <c r="E21">
        <f>COUNTIFS(disc_a1!$E$2:$E$151,$B21,disc_a1!$F$2:$F$151,"Iris-virginica")</f>
        <v>0</v>
      </c>
      <c r="F21">
        <f>COUNTIFS(disc_a1!$E$2:$E$151,$B21,disc_a1!$F$2:$F$151,"Iris-versicolor")</f>
        <v>0</v>
      </c>
      <c r="G21">
        <f t="shared" si="0"/>
        <v>0</v>
      </c>
      <c r="H21">
        <f t="shared" si="1"/>
        <v>0.33333333333333331</v>
      </c>
      <c r="I21">
        <f t="shared" si="2"/>
        <v>0</v>
      </c>
    </row>
    <row r="22" spans="1:9">
      <c r="A22" t="s">
        <v>17</v>
      </c>
      <c r="B22" s="5" t="s">
        <v>99</v>
      </c>
      <c r="C22" s="5">
        <f>COUNTIF(disc_a1!$E$2:$E$151,B22)</f>
        <v>48</v>
      </c>
      <c r="D22" s="5">
        <f>COUNTIFS(disc_a1!$E$2:$E$151,$B22,disc_a1!$F$2:$F$151,"Iris-setosa")</f>
        <v>0</v>
      </c>
      <c r="E22">
        <f>COUNTIFS(disc_a1!$E$2:$E$151,$B22,disc_a1!$F$2:$F$151,"Iris-virginica")</f>
        <v>3</v>
      </c>
      <c r="F22">
        <f>COUNTIFS(disc_a1!$E$2:$E$151,$B22,disc_a1!$F$2:$F$151,"Iris-versicolor")</f>
        <v>45</v>
      </c>
      <c r="G22">
        <f t="shared" si="0"/>
        <v>0.33729006661701388</v>
      </c>
      <c r="H22">
        <f t="shared" si="1"/>
        <v>0.32</v>
      </c>
      <c r="I22">
        <f t="shared" si="2"/>
        <v>0.10793282131744444</v>
      </c>
    </row>
    <row r="23" spans="1:9">
      <c r="A23" t="s">
        <v>17</v>
      </c>
      <c r="B23" s="5" t="s">
        <v>98</v>
      </c>
      <c r="C23" s="5">
        <f>COUNTIF(disc_a1!$E$2:$E$151,B23)</f>
        <v>52</v>
      </c>
      <c r="D23" s="5">
        <f>COUNTIFS(disc_a1!$E$2:$E$151,$B23,disc_a1!$F$2:$F$151,"Iris-setosa")</f>
        <v>0</v>
      </c>
      <c r="E23">
        <f>COUNTIFS(disc_a1!$E$2:$E$151,$B23,disc_a1!$F$2:$F$151,"Iris-virginica")</f>
        <v>47</v>
      </c>
      <c r="F23">
        <f>COUNTIFS(disc_a1!$E$2:$E$151,$B23,disc_a1!$F$2:$F$151,"Iris-versicolor")</f>
        <v>5</v>
      </c>
      <c r="G23">
        <f t="shared" si="0"/>
        <v>0.4566836315394428</v>
      </c>
      <c r="H23">
        <f t="shared" si="1"/>
        <v>0.34666666666666668</v>
      </c>
      <c r="I23">
        <f t="shared" si="2"/>
        <v>0.15831699226700685</v>
      </c>
    </row>
    <row r="24" spans="1:9">
      <c r="B24" s="5"/>
      <c r="C24" s="5"/>
      <c r="D24" s="5"/>
    </row>
    <row r="25" spans="1:9">
      <c r="B25" s="5"/>
      <c r="C25" s="5"/>
      <c r="D25" s="5"/>
    </row>
    <row r="26" spans="1:9">
      <c r="A26" s="1" t="s">
        <v>106</v>
      </c>
      <c r="B26" s="7" t="s">
        <v>104</v>
      </c>
      <c r="C26" s="7" t="s">
        <v>115</v>
      </c>
      <c r="D26" s="7" t="s">
        <v>116</v>
      </c>
    </row>
    <row r="27" spans="1:9">
      <c r="A27" t="s">
        <v>14</v>
      </c>
      <c r="B27" s="5">
        <f>$B$8</f>
        <v>1.5849625007211561</v>
      </c>
      <c r="C27" s="5">
        <f>SUMIF($A$12:$A$23,A27,$I$12:$I$23)</f>
        <v>0.90833611790097257</v>
      </c>
      <c r="D27" s="5">
        <f>B27-C27</f>
        <v>0.6766263828201835</v>
      </c>
    </row>
    <row r="28" spans="1:9">
      <c r="A28" t="s">
        <v>15</v>
      </c>
      <c r="B28" s="5">
        <f>$B$8</f>
        <v>1.5849625007211561</v>
      </c>
      <c r="C28" s="5">
        <f>SUMIF($A$12:$A$23,A28,$I$12:$I$23)</f>
        <v>1.2366114515774571</v>
      </c>
      <c r="D28" s="5">
        <f>B28-C28</f>
        <v>0.34835104914369897</v>
      </c>
    </row>
    <row r="29" spans="1:9">
      <c r="A29" t="s">
        <v>16</v>
      </c>
      <c r="B29" s="5">
        <f>$B$8</f>
        <v>1.5849625007211561</v>
      </c>
      <c r="C29" s="5">
        <f>SUMIF($A$12:$A$23,A29,$I$12:$I$23)</f>
        <v>0.29012548374082692</v>
      </c>
      <c r="D29" s="5">
        <f>B29-C29</f>
        <v>1.2948370169803292</v>
      </c>
    </row>
    <row r="30" spans="1:9">
      <c r="A30" t="s">
        <v>17</v>
      </c>
      <c r="B30" s="5">
        <f>$B$8</f>
        <v>1.5849625007211561</v>
      </c>
      <c r="C30" s="5">
        <f>SUMIF($A$12:$A$23,A30,$I$12:$I$23)</f>
        <v>0.26624981358445132</v>
      </c>
      <c r="D30" s="5">
        <f>B30-C30</f>
        <v>1.3187126871367048</v>
      </c>
    </row>
    <row r="31" spans="1:9">
      <c r="B31" s="5"/>
      <c r="C31" s="5"/>
      <c r="D31" s="5"/>
    </row>
    <row r="32" spans="1:9">
      <c r="A32" s="4" t="s">
        <v>117</v>
      </c>
      <c r="B32" s="6">
        <f>MAX(D27:D30)</f>
        <v>1.3187126871367048</v>
      </c>
      <c r="C32" s="6" t="s">
        <v>118</v>
      </c>
      <c r="D32" s="6" t="str">
        <f>INDEX(A27:A30,MATCH(B32,D27:D30,0))</f>
        <v>petalw</v>
      </c>
    </row>
    <row r="33" spans="2:4">
      <c r="B33" s="5"/>
      <c r="C33" s="5"/>
      <c r="D33" s="5"/>
    </row>
    <row r="34" spans="2:4">
      <c r="B34" s="5"/>
      <c r="C34" s="5"/>
      <c r="D34" s="5"/>
    </row>
    <row r="35" spans="2:4">
      <c r="B35" s="5"/>
      <c r="C35" s="5"/>
      <c r="D35" s="5"/>
    </row>
    <row r="36" spans="2:4">
      <c r="B36" s="5"/>
      <c r="C36" s="5"/>
      <c r="D36" s="5"/>
    </row>
    <row r="37" spans="2:4">
      <c r="B37" s="5"/>
      <c r="C37" s="5"/>
      <c r="D37" s="5"/>
    </row>
    <row r="38" spans="2:4">
      <c r="B38" s="5"/>
      <c r="C38" s="5"/>
      <c r="D38" s="5"/>
    </row>
    <row r="39" spans="2:4">
      <c r="B39" s="5"/>
      <c r="C39" s="5"/>
      <c r="D39" s="5"/>
    </row>
    <row r="40" spans="2:4">
      <c r="B40" s="5"/>
      <c r="C40" s="5"/>
      <c r="D40" s="5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/>
  </sheetViews>
  <sheetFormatPr baseColWidth="10" defaultColWidth="8.796875" defaultRowHeight="13.8"/>
  <cols>
    <col min="1" max="2" width="22" customWidth="1"/>
    <col min="3" max="3" width="36" customWidth="1"/>
    <col min="4" max="8" width="22" customWidth="1"/>
  </cols>
  <sheetData>
    <row r="1" spans="1:8" ht="17.399999999999999">
      <c r="A1" s="9" t="s">
        <v>119</v>
      </c>
      <c r="B1" s="10"/>
      <c r="C1" s="10"/>
      <c r="D1" s="10"/>
      <c r="E1" s="10"/>
      <c r="F1" s="12"/>
      <c r="G1" s="12"/>
      <c r="H1" s="12"/>
    </row>
    <row r="3" spans="1:8">
      <c r="A3" s="1" t="s">
        <v>120</v>
      </c>
      <c r="B3" s="1" t="s">
        <v>121</v>
      </c>
      <c r="C3" s="1" t="s">
        <v>122</v>
      </c>
      <c r="D3" s="1" t="s">
        <v>123</v>
      </c>
      <c r="E3" s="1" t="s">
        <v>124</v>
      </c>
      <c r="F3" s="1" t="s">
        <v>125</v>
      </c>
      <c r="G3" s="1" t="s">
        <v>115</v>
      </c>
      <c r="H3" s="1" t="s">
        <v>126</v>
      </c>
    </row>
    <row r="4" spans="1:8">
      <c r="A4" s="2" t="s">
        <v>127</v>
      </c>
      <c r="B4" s="2">
        <v>50</v>
      </c>
      <c r="C4" s="2" t="s">
        <v>128</v>
      </c>
      <c r="D4" s="2" t="s">
        <v>129</v>
      </c>
      <c r="E4" s="2" t="s">
        <v>23</v>
      </c>
      <c r="F4" s="2"/>
      <c r="G4" s="2"/>
      <c r="H4" s="2"/>
    </row>
    <row r="5" spans="1:8">
      <c r="A5" s="2" t="s">
        <v>130</v>
      </c>
      <c r="B5" s="2">
        <v>48</v>
      </c>
      <c r="C5" s="2" t="s">
        <v>131</v>
      </c>
      <c r="D5" s="2" t="s">
        <v>132</v>
      </c>
      <c r="E5" s="2" t="s">
        <v>16</v>
      </c>
      <c r="F5" s="2">
        <v>0.33729006661701388</v>
      </c>
      <c r="G5" s="2"/>
      <c r="H5" s="2"/>
    </row>
    <row r="6" spans="1:8">
      <c r="A6" s="2"/>
      <c r="B6" s="2"/>
      <c r="C6" s="2"/>
      <c r="D6" s="2" t="s">
        <v>133</v>
      </c>
      <c r="E6" s="2" t="s">
        <v>14</v>
      </c>
      <c r="F6" s="2">
        <v>0.33729006661701388</v>
      </c>
      <c r="G6" s="2">
        <v>0.32470109640554717</v>
      </c>
      <c r="H6" s="2">
        <v>1.258897021146671E-2</v>
      </c>
    </row>
    <row r="7" spans="1:8">
      <c r="A7" s="2"/>
      <c r="B7" s="2"/>
      <c r="C7" s="2"/>
      <c r="D7" s="2" t="s">
        <v>134</v>
      </c>
      <c r="E7" s="2" t="s">
        <v>15</v>
      </c>
      <c r="F7" s="2">
        <v>0.33729006661701388</v>
      </c>
      <c r="G7" s="2">
        <v>0.31036263772772532</v>
      </c>
      <c r="H7" s="2">
        <v>2.6927428889288563E-2</v>
      </c>
    </row>
    <row r="8" spans="1:8">
      <c r="A8" s="2"/>
      <c r="B8" s="2"/>
      <c r="C8" s="2"/>
      <c r="D8" s="2" t="s">
        <v>135</v>
      </c>
      <c r="E8" s="2" t="s">
        <v>16</v>
      </c>
      <c r="F8" s="2">
        <v>0.33729006661701388</v>
      </c>
      <c r="G8" s="2">
        <v>0.10114068692236132</v>
      </c>
      <c r="H8" s="2">
        <v>0.23614937969465255</v>
      </c>
    </row>
    <row r="9" spans="1:8">
      <c r="A9" s="2" t="s">
        <v>136</v>
      </c>
      <c r="B9" s="2">
        <v>1</v>
      </c>
      <c r="C9" s="2" t="s">
        <v>137</v>
      </c>
      <c r="D9" s="2" t="s">
        <v>138</v>
      </c>
      <c r="E9" s="2" t="s">
        <v>66</v>
      </c>
      <c r="F9" s="2">
        <v>0</v>
      </c>
      <c r="G9" s="2"/>
      <c r="H9" s="2"/>
    </row>
    <row r="10" spans="1:8">
      <c r="A10" s="2" t="s">
        <v>139</v>
      </c>
      <c r="B10" s="2">
        <v>42</v>
      </c>
      <c r="C10" s="2" t="s">
        <v>140</v>
      </c>
      <c r="D10" s="2" t="s">
        <v>138</v>
      </c>
      <c r="E10" s="2" t="s">
        <v>66</v>
      </c>
      <c r="F10" s="2">
        <v>0</v>
      </c>
      <c r="G10" s="2"/>
      <c r="H10" s="2"/>
    </row>
    <row r="11" spans="1:8">
      <c r="A11" s="2" t="s">
        <v>141</v>
      </c>
      <c r="B11" s="2">
        <v>5</v>
      </c>
      <c r="C11" s="2" t="s">
        <v>142</v>
      </c>
      <c r="D11" s="2" t="s">
        <v>143</v>
      </c>
      <c r="E11" s="2" t="s">
        <v>87</v>
      </c>
      <c r="F11" s="2">
        <v>0.97095059445466858</v>
      </c>
      <c r="G11" s="2"/>
      <c r="H11" s="2"/>
    </row>
    <row r="12" spans="1:8">
      <c r="A12" s="2" t="s">
        <v>144</v>
      </c>
      <c r="B12" s="2">
        <v>52</v>
      </c>
      <c r="C12" s="2" t="s">
        <v>145</v>
      </c>
      <c r="D12" s="2" t="s">
        <v>132</v>
      </c>
      <c r="E12" s="2" t="s">
        <v>16</v>
      </c>
      <c r="F12" s="2">
        <v>0.4566836315394428</v>
      </c>
      <c r="G12" s="2"/>
      <c r="H12" s="2"/>
    </row>
    <row r="13" spans="1:8">
      <c r="A13" s="2"/>
      <c r="B13" s="2"/>
      <c r="C13" s="2"/>
      <c r="D13" s="2" t="s">
        <v>133</v>
      </c>
      <c r="E13" s="2" t="s">
        <v>14</v>
      </c>
      <c r="F13" s="2">
        <v>0.4566836315394428</v>
      </c>
      <c r="G13" s="2">
        <v>0.41222102584096365</v>
      </c>
      <c r="H13" s="2">
        <v>4.4462605698479152E-2</v>
      </c>
    </row>
    <row r="14" spans="1:8">
      <c r="A14" s="2"/>
      <c r="B14" s="2"/>
      <c r="C14" s="2"/>
      <c r="D14" s="2" t="s">
        <v>134</v>
      </c>
      <c r="E14" s="2" t="s">
        <v>15</v>
      </c>
      <c r="F14" s="2">
        <v>0.4566836315394428</v>
      </c>
      <c r="G14" s="2">
        <v>0.43604832287110495</v>
      </c>
      <c r="H14" s="2">
        <v>2.0635308668337848E-2</v>
      </c>
    </row>
    <row r="15" spans="1:8">
      <c r="A15" s="2"/>
      <c r="B15" s="2"/>
      <c r="C15" s="2"/>
      <c r="D15" s="2" t="s">
        <v>135</v>
      </c>
      <c r="E15" s="2" t="s">
        <v>16</v>
      </c>
      <c r="F15" s="2">
        <v>0.4566836315394428</v>
      </c>
      <c r="G15" s="2">
        <v>0.34363189920349063</v>
      </c>
      <c r="H15" s="2">
        <v>0.11305173233595217</v>
      </c>
    </row>
    <row r="16" spans="1:8">
      <c r="A16" s="2" t="s">
        <v>139</v>
      </c>
      <c r="B16" s="2">
        <v>6</v>
      </c>
      <c r="C16" s="2" t="s">
        <v>146</v>
      </c>
      <c r="D16" s="2" t="s">
        <v>143</v>
      </c>
      <c r="E16" s="2" t="s">
        <v>87</v>
      </c>
      <c r="F16" s="2">
        <v>1</v>
      </c>
      <c r="G16" s="2"/>
      <c r="H16" s="2"/>
    </row>
    <row r="17" spans="1:8">
      <c r="A17" s="2" t="s">
        <v>141</v>
      </c>
      <c r="B17" s="2">
        <v>46</v>
      </c>
      <c r="C17" s="2" t="s">
        <v>147</v>
      </c>
      <c r="D17" s="2" t="s">
        <v>143</v>
      </c>
      <c r="E17" s="2" t="s">
        <v>87</v>
      </c>
      <c r="F17" s="2">
        <v>0.25801866866481549</v>
      </c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workbookViewId="0"/>
  </sheetViews>
  <sheetFormatPr baseColWidth="10" defaultColWidth="8.796875" defaultRowHeight="13.8"/>
  <cols>
    <col min="1" max="1" width="72" customWidth="1"/>
    <col min="2" max="4" width="20" customWidth="1"/>
  </cols>
  <sheetData>
    <row r="1" spans="1:4" ht="17.399999999999999">
      <c r="A1" s="9" t="s">
        <v>148</v>
      </c>
      <c r="B1" s="10"/>
      <c r="C1" s="10"/>
      <c r="D1" s="10"/>
    </row>
    <row r="3" spans="1:4" ht="27.6">
      <c r="A3" s="1" t="s">
        <v>149</v>
      </c>
      <c r="B3" s="1" t="s">
        <v>150</v>
      </c>
      <c r="C3" s="1" t="s">
        <v>121</v>
      </c>
      <c r="D3" s="1" t="s">
        <v>151</v>
      </c>
    </row>
    <row r="4" spans="1:4">
      <c r="A4" s="2" t="s">
        <v>152</v>
      </c>
      <c r="B4" s="2" t="s">
        <v>23</v>
      </c>
      <c r="C4" s="2">
        <v>50</v>
      </c>
      <c r="D4" s="2" t="s">
        <v>128</v>
      </c>
    </row>
    <row r="5" spans="1:4">
      <c r="A5" s="2" t="s">
        <v>153</v>
      </c>
      <c r="B5" s="2" t="s">
        <v>66</v>
      </c>
      <c r="C5" s="2">
        <v>1</v>
      </c>
      <c r="D5" s="2" t="s">
        <v>137</v>
      </c>
    </row>
    <row r="6" spans="1:4">
      <c r="A6" s="2" t="s">
        <v>154</v>
      </c>
      <c r="B6" s="2" t="s">
        <v>66</v>
      </c>
      <c r="C6" s="2">
        <v>42</v>
      </c>
      <c r="D6" s="2" t="s">
        <v>140</v>
      </c>
    </row>
    <row r="7" spans="1:4">
      <c r="A7" s="2" t="s">
        <v>155</v>
      </c>
      <c r="B7" s="2" t="s">
        <v>87</v>
      </c>
      <c r="C7" s="2">
        <v>2</v>
      </c>
      <c r="D7" s="2" t="s">
        <v>156</v>
      </c>
    </row>
    <row r="8" spans="1:4" ht="27.6">
      <c r="A8" s="2" t="s">
        <v>157</v>
      </c>
      <c r="B8" s="2" t="s">
        <v>66</v>
      </c>
      <c r="C8" s="2">
        <v>2</v>
      </c>
      <c r="D8" s="2" t="s">
        <v>158</v>
      </c>
    </row>
    <row r="9" spans="1:4">
      <c r="A9" s="2" t="s">
        <v>159</v>
      </c>
      <c r="B9" s="2" t="s">
        <v>66</v>
      </c>
      <c r="C9" s="2">
        <v>1</v>
      </c>
      <c r="D9" s="2" t="s">
        <v>137</v>
      </c>
    </row>
    <row r="10" spans="1:4">
      <c r="A10" s="2" t="s">
        <v>160</v>
      </c>
      <c r="B10" s="2" t="s">
        <v>87</v>
      </c>
      <c r="C10" s="2">
        <v>2</v>
      </c>
      <c r="D10" s="2" t="s">
        <v>156</v>
      </c>
    </row>
    <row r="11" spans="1:4" ht="27.6">
      <c r="A11" s="2" t="s">
        <v>161</v>
      </c>
      <c r="B11" s="2" t="s">
        <v>66</v>
      </c>
      <c r="C11" s="2">
        <v>2</v>
      </c>
      <c r="D11" s="2" t="s">
        <v>158</v>
      </c>
    </row>
    <row r="12" spans="1:4">
      <c r="A12" s="2" t="s">
        <v>162</v>
      </c>
      <c r="B12" s="2" t="s">
        <v>66</v>
      </c>
      <c r="C12" s="2">
        <v>2</v>
      </c>
      <c r="D12" s="2" t="s">
        <v>163</v>
      </c>
    </row>
    <row r="13" spans="1:4" ht="27.6">
      <c r="A13" s="2" t="s">
        <v>164</v>
      </c>
      <c r="B13" s="2" t="s">
        <v>87</v>
      </c>
      <c r="C13" s="2">
        <v>6</v>
      </c>
      <c r="D13" s="2" t="s">
        <v>165</v>
      </c>
    </row>
    <row r="14" spans="1:4">
      <c r="A14" s="2" t="s">
        <v>166</v>
      </c>
      <c r="B14" s="2" t="s">
        <v>87</v>
      </c>
      <c r="C14" s="2">
        <v>2</v>
      </c>
      <c r="D14" s="2" t="s">
        <v>156</v>
      </c>
    </row>
    <row r="15" spans="1:4">
      <c r="A15" s="2" t="s">
        <v>167</v>
      </c>
      <c r="B15" s="2" t="s">
        <v>87</v>
      </c>
      <c r="C15" s="2">
        <v>1</v>
      </c>
      <c r="D15" s="2" t="s">
        <v>168</v>
      </c>
    </row>
    <row r="16" spans="1:4">
      <c r="A16" s="2" t="s">
        <v>169</v>
      </c>
      <c r="B16" s="2" t="s">
        <v>87</v>
      </c>
      <c r="C16" s="2">
        <v>11</v>
      </c>
      <c r="D16" s="2" t="s">
        <v>170</v>
      </c>
    </row>
    <row r="17" spans="1:4" ht="27.6">
      <c r="A17" s="2" t="s">
        <v>171</v>
      </c>
      <c r="B17" s="2" t="s">
        <v>87</v>
      </c>
      <c r="C17" s="2">
        <v>19</v>
      </c>
      <c r="D17" s="2" t="s">
        <v>172</v>
      </c>
    </row>
    <row r="18" spans="1:4">
      <c r="A18" s="2" t="s">
        <v>173</v>
      </c>
      <c r="B18" s="2" t="s">
        <v>87</v>
      </c>
      <c r="C18" s="2">
        <v>7</v>
      </c>
      <c r="D18" s="2" t="s">
        <v>174</v>
      </c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13" t="s">
        <v>175</v>
      </c>
      <c r="B21" s="14"/>
      <c r="C21" s="14"/>
      <c r="D21" s="14"/>
    </row>
    <row r="22" spans="1:4">
      <c r="A22" s="8" t="s">
        <v>176</v>
      </c>
      <c r="B22" s="2"/>
      <c r="C22" s="2"/>
      <c r="D22" s="2"/>
    </row>
    <row r="23" spans="1:4">
      <c r="A23" s="8" t="s">
        <v>17</v>
      </c>
      <c r="B23" s="2"/>
      <c r="C23" s="2"/>
      <c r="D23" s="2"/>
    </row>
    <row r="24" spans="1:4">
      <c r="A24" s="8" t="s">
        <v>177</v>
      </c>
      <c r="B24" s="2"/>
      <c r="C24" s="2"/>
      <c r="D24" s="2"/>
    </row>
    <row r="25" spans="1:4">
      <c r="A25" s="8" t="s">
        <v>178</v>
      </c>
      <c r="B25" s="2"/>
      <c r="C25" s="2"/>
      <c r="D25" s="2"/>
    </row>
    <row r="26" spans="1:4">
      <c r="A26" s="8" t="s">
        <v>179</v>
      </c>
      <c r="B26" s="2"/>
      <c r="C26" s="2"/>
      <c r="D26" s="2"/>
    </row>
    <row r="27" spans="1:4">
      <c r="A27" s="8" t="s">
        <v>180</v>
      </c>
      <c r="B27" s="2"/>
      <c r="C27" s="2"/>
      <c r="D27" s="2"/>
    </row>
    <row r="28" spans="1:4">
      <c r="A28" s="8" t="s">
        <v>181</v>
      </c>
      <c r="B28" s="2"/>
      <c r="C28" s="2"/>
      <c r="D28" s="2"/>
    </row>
    <row r="29" spans="1:4">
      <c r="A29" s="8" t="s">
        <v>182</v>
      </c>
      <c r="B29" s="2"/>
      <c r="C29" s="2"/>
      <c r="D29" s="2"/>
    </row>
    <row r="30" spans="1:4">
      <c r="A30" s="8" t="s">
        <v>183</v>
      </c>
      <c r="B30" s="2"/>
      <c r="C30" s="2"/>
      <c r="D30" s="2"/>
    </row>
    <row r="31" spans="1:4">
      <c r="A31" s="8" t="s">
        <v>184</v>
      </c>
    </row>
    <row r="32" spans="1:4">
      <c r="A32" s="8"/>
    </row>
    <row r="33" spans="1:1" ht="27.6">
      <c r="A33" s="8" t="s">
        <v>185</v>
      </c>
    </row>
  </sheetData>
  <mergeCells count="2">
    <mergeCell ref="A1:D1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iris.data</vt:lpstr>
      <vt:lpstr>disc_a1</vt:lpstr>
      <vt:lpstr>ID3_Raiz</vt:lpstr>
      <vt:lpstr>ID3_Ramas</vt:lpstr>
      <vt:lpstr>Arbol_ID3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covarrubias</cp:lastModifiedBy>
  <dcterms:created xsi:type="dcterms:W3CDTF">2026-09-03T00:53:07Z</dcterms:created>
  <dcterms:modified xsi:type="dcterms:W3CDTF">2026-09-03T00:53:07Z</dcterms:modified>
</cp:coreProperties>
</file>