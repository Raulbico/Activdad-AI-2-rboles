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ul0\Downloads\"/>
    </mc:Choice>
  </mc:AlternateContent>
  <xr:revisionPtr revIDLastSave="0" documentId="8_{CF1CBFAA-2C8C-4A7D-B0E9-5A1733070E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_confusion_pt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  <c r="C34" i="1"/>
  <c r="B34" i="1"/>
  <c r="D33" i="1"/>
  <c r="C33" i="1"/>
  <c r="B33" i="1"/>
  <c r="D32" i="1"/>
  <c r="C32" i="1"/>
  <c r="B32" i="1"/>
  <c r="H27" i="1"/>
  <c r="G27" i="1"/>
</calcChain>
</file>

<file path=xl/sharedStrings.xml><?xml version="1.0" encoding="utf-8"?>
<sst xmlns="http://schemas.openxmlformats.org/spreadsheetml/2006/main" count="143" uniqueCount="23">
  <si>
    <t>PUNTO 7 - Matriz de confusión del clasificador Naive Bayes</t>
  </si>
  <si>
    <t>Muestra de 20 observaciones iris. Filas de la matriz = clase predicha por NB; columnas = clase real.</t>
  </si>
  <si>
    <t>Observaciones usadas: 1, 10, 14, 18, 23, 28, 35, 41, 42, 63, 69, 86, 87, 88, 97, 98, 105, 112, 138 y 144.</t>
  </si>
  <si>
    <t>id (observación)</t>
  </si>
  <si>
    <t>sepall</t>
  </si>
  <si>
    <t>sepalw</t>
  </si>
  <si>
    <t>petall</t>
  </si>
  <si>
    <t>petalw</t>
  </si>
  <si>
    <t>clase real</t>
  </si>
  <si>
    <t>score — setosa</t>
  </si>
  <si>
    <t>score — versicolor</t>
  </si>
  <si>
    <t>score — virginica</t>
  </si>
  <si>
    <t>clase predicha (NB)</t>
  </si>
  <si>
    <t>correcto</t>
  </si>
  <si>
    <t>chico</t>
  </si>
  <si>
    <t>setosa</t>
  </si>
  <si>
    <t>grande</t>
  </si>
  <si>
    <t>mediano</t>
  </si>
  <si>
    <t>virginica</t>
  </si>
  <si>
    <t>versicolor</t>
  </si>
  <si>
    <t>Exactitud sobre las 20 observaciones</t>
  </si>
  <si>
    <t>MATRIZ DE CONFUSIÓN</t>
  </si>
  <si>
    <t>clasificador \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</si>
</sst>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>
    <font>
      <sz val="11"/>
      <name val="Carlito"/>
    </font>
    <font>
      <b/>
      <sz val="14"/>
      <color rgb="FFFFFFFF"/>
      <name val="Carlito"/>
    </font>
    <font>
      <i/>
      <sz val="11"/>
      <color rgb="FF1F4E78"/>
      <name val="Carlito"/>
    </font>
    <font>
      <b/>
      <sz val="11"/>
      <color rgb="FFFFFFFF"/>
      <name val="Carlito"/>
    </font>
    <font>
      <b/>
      <sz val="12"/>
      <color rgb="FFFFFFFF"/>
      <name val="Carlito"/>
    </font>
    <font>
      <b/>
      <sz val="11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05496"/>
      </patternFill>
    </fill>
    <fill>
      <patternFill patternType="solid">
        <fgColor rgb="FF70AD4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0" fontId="5" fillId="6" borderId="0" xfId="0" applyNumberFormat="1" applyFont="1" applyFill="1" applyAlignment="1">
      <alignment vertical="center"/>
    </xf>
    <xf numFmtId="1" fontId="5" fillId="7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6" fillId="0" borderId="0" xfId="0" applyFont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wrapText="1"/>
    </xf>
    <xf numFmtId="0" fontId="5" fillId="6" borderId="0" xfId="0" applyFont="1" applyFill="1" applyAlignment="1">
      <alignment vertical="center"/>
    </xf>
  </cellXfs>
  <cellStyles count="1">
    <cellStyle name="Normal" xfId="0" builtinId="0"/>
  </cellStyles>
  <dxfs count="1"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bservacionesNB" displayName="ObservacionesNB" ref="A5:K25">
  <tableColumns count="11">
    <tableColumn id="1" xr3:uid="{00000000-0010-0000-0000-000001000000}" name="id (observación)"/>
    <tableColumn id="2" xr3:uid="{00000000-0010-0000-0000-000002000000}" name="sepall"/>
    <tableColumn id="3" xr3:uid="{00000000-0010-0000-0000-000003000000}" name="sepalw"/>
    <tableColumn id="4" xr3:uid="{00000000-0010-0000-0000-000004000000}" name="petall"/>
    <tableColumn id="5" xr3:uid="{00000000-0010-0000-0000-000005000000}" name="petalw"/>
    <tableColumn id="6" xr3:uid="{00000000-0010-0000-0000-000006000000}" name="clase real"/>
    <tableColumn id="7" xr3:uid="{00000000-0010-0000-0000-000007000000}" name="score — setosa"/>
    <tableColumn id="8" xr3:uid="{00000000-0010-0000-0000-000008000000}" name="score — versicolor"/>
    <tableColumn id="9" xr3:uid="{00000000-0010-0000-0000-000009000000}" name="score — virginica"/>
    <tableColumn id="10" xr3:uid="{00000000-0010-0000-0000-00000A000000}" name="clase predicha (NB)"/>
    <tableColumn id="11" xr3:uid="{00000000-0010-0000-0000-00000B000000}" name="correc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rizConfusion" displayName="MatrizConfusion" ref="A31:D34">
  <tableColumns count="4">
    <tableColumn id="1" xr3:uid="{00000000-0010-0000-0100-000001000000}" name="clasificador \ real"/>
    <tableColumn id="2" xr3:uid="{00000000-0010-0000-0100-000002000000}" name="setosa"/>
    <tableColumn id="3" xr3:uid="{00000000-0010-0000-0100-000003000000}" name="virginica"/>
    <tableColumn id="4" xr3:uid="{00000000-0010-0000-0100-000004000000}" name="versi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topLeftCell="A5" workbookViewId="0">
      <selection activeCell="L15" sqref="L15"/>
    </sheetView>
  </sheetViews>
  <sheetFormatPr baseColWidth="10" defaultColWidth="9" defaultRowHeight="13.8"/>
  <cols>
    <col min="1" max="1" width="15" customWidth="1"/>
    <col min="2" max="5" width="12" customWidth="1"/>
    <col min="6" max="6" width="14" customWidth="1"/>
    <col min="7" max="10" width="18" customWidth="1"/>
    <col min="11" max="11" width="10" customWidth="1"/>
  </cols>
  <sheetData>
    <row r="1" spans="1:11" ht="27.9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33.9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ht="33.9" customHeight="1">
      <c r="A3" s="10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0"/>
    </row>
    <row r="5" spans="1:11" ht="33.9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</row>
    <row r="6" spans="1:11">
      <c r="A6" s="2">
        <v>1</v>
      </c>
      <c r="B6" s="2" t="s">
        <v>14</v>
      </c>
      <c r="C6" s="2" t="s">
        <v>14</v>
      </c>
      <c r="D6" s="2" t="s">
        <v>14</v>
      </c>
      <c r="E6" s="2" t="s">
        <v>14</v>
      </c>
      <c r="F6" s="2" t="s">
        <v>15</v>
      </c>
      <c r="G6" s="3">
        <v>1.2E-2</v>
      </c>
      <c r="H6" s="3">
        <v>0</v>
      </c>
      <c r="I6" s="3">
        <v>0</v>
      </c>
      <c r="J6" s="2" t="s">
        <v>15</v>
      </c>
      <c r="K6" s="4">
        <v>1</v>
      </c>
    </row>
    <row r="7" spans="1:11">
      <c r="A7" s="2">
        <v>10</v>
      </c>
      <c r="B7" s="2" t="s">
        <v>14</v>
      </c>
      <c r="C7" s="2" t="s">
        <v>16</v>
      </c>
      <c r="D7" s="2" t="s">
        <v>14</v>
      </c>
      <c r="E7" s="2" t="s">
        <v>14</v>
      </c>
      <c r="F7" s="2" t="s">
        <v>15</v>
      </c>
      <c r="G7" s="3">
        <v>0.192</v>
      </c>
      <c r="H7" s="3">
        <v>0</v>
      </c>
      <c r="I7" s="3">
        <v>0</v>
      </c>
      <c r="J7" s="2" t="s">
        <v>15</v>
      </c>
      <c r="K7" s="4">
        <v>1</v>
      </c>
    </row>
    <row r="8" spans="1:11">
      <c r="A8" s="2">
        <v>14</v>
      </c>
      <c r="B8" s="2" t="s">
        <v>14</v>
      </c>
      <c r="C8" s="2" t="s">
        <v>16</v>
      </c>
      <c r="D8" s="2" t="s">
        <v>14</v>
      </c>
      <c r="E8" s="2" t="s">
        <v>14</v>
      </c>
      <c r="F8" s="2" t="s">
        <v>15</v>
      </c>
      <c r="G8" s="3">
        <v>0.192</v>
      </c>
      <c r="H8" s="3">
        <v>0</v>
      </c>
      <c r="I8" s="3">
        <v>0</v>
      </c>
      <c r="J8" s="2" t="s">
        <v>15</v>
      </c>
      <c r="K8" s="4">
        <v>1</v>
      </c>
    </row>
    <row r="9" spans="1:11">
      <c r="A9" s="2">
        <v>18</v>
      </c>
      <c r="B9" s="2" t="s">
        <v>14</v>
      </c>
      <c r="C9" s="2" t="s">
        <v>16</v>
      </c>
      <c r="D9" s="2" t="s">
        <v>14</v>
      </c>
      <c r="E9" s="2" t="s">
        <v>14</v>
      </c>
      <c r="F9" s="2" t="s">
        <v>15</v>
      </c>
      <c r="G9" s="3">
        <v>0.192</v>
      </c>
      <c r="H9" s="3">
        <v>0</v>
      </c>
      <c r="I9" s="3">
        <v>0</v>
      </c>
      <c r="J9" s="2" t="s">
        <v>15</v>
      </c>
      <c r="K9" s="4">
        <v>1</v>
      </c>
    </row>
    <row r="10" spans="1:11">
      <c r="A10" s="2">
        <v>23</v>
      </c>
      <c r="B10" s="2" t="s">
        <v>14</v>
      </c>
      <c r="C10" s="2" t="s">
        <v>16</v>
      </c>
      <c r="D10" s="2" t="s">
        <v>14</v>
      </c>
      <c r="E10" s="2" t="s">
        <v>14</v>
      </c>
      <c r="F10" s="2" t="s">
        <v>15</v>
      </c>
      <c r="G10" s="3">
        <v>0.192</v>
      </c>
      <c r="H10" s="3">
        <v>0</v>
      </c>
      <c r="I10" s="3">
        <v>0</v>
      </c>
      <c r="J10" s="2" t="s">
        <v>15</v>
      </c>
      <c r="K10" s="4">
        <v>1</v>
      </c>
    </row>
    <row r="11" spans="1:11">
      <c r="A11" s="2">
        <v>28</v>
      </c>
      <c r="B11" s="2" t="s">
        <v>14</v>
      </c>
      <c r="C11" s="2" t="s">
        <v>16</v>
      </c>
      <c r="D11" s="2" t="s">
        <v>14</v>
      </c>
      <c r="E11" s="2" t="s">
        <v>14</v>
      </c>
      <c r="F11" s="2" t="s">
        <v>15</v>
      </c>
      <c r="G11" s="3">
        <v>0.192</v>
      </c>
      <c r="H11" s="3">
        <v>0</v>
      </c>
      <c r="I11" s="3">
        <v>0</v>
      </c>
      <c r="J11" s="2" t="s">
        <v>15</v>
      </c>
      <c r="K11" s="4">
        <v>1</v>
      </c>
    </row>
    <row r="12" spans="1:11">
      <c r="A12" s="2">
        <v>35</v>
      </c>
      <c r="B12" s="2" t="s">
        <v>14</v>
      </c>
      <c r="C12" s="2" t="s">
        <v>17</v>
      </c>
      <c r="D12" s="2" t="s">
        <v>14</v>
      </c>
      <c r="E12" s="2" t="s">
        <v>14</v>
      </c>
      <c r="F12" s="2" t="s">
        <v>15</v>
      </c>
      <c r="G12" s="3">
        <v>9.6000000000000002E-2</v>
      </c>
      <c r="H12" s="3">
        <v>0</v>
      </c>
      <c r="I12" s="3">
        <v>0</v>
      </c>
      <c r="J12" s="2" t="s">
        <v>15</v>
      </c>
      <c r="K12" s="4">
        <v>1</v>
      </c>
    </row>
    <row r="13" spans="1:11">
      <c r="A13" s="2">
        <v>41</v>
      </c>
      <c r="B13" s="2" t="s">
        <v>14</v>
      </c>
      <c r="C13" s="2" t="s">
        <v>17</v>
      </c>
      <c r="D13" s="2" t="s">
        <v>14</v>
      </c>
      <c r="E13" s="2" t="s">
        <v>14</v>
      </c>
      <c r="F13" s="2" t="s">
        <v>15</v>
      </c>
      <c r="G13" s="3">
        <v>9.6000000000000002E-2</v>
      </c>
      <c r="H13" s="3">
        <v>0</v>
      </c>
      <c r="I13" s="3">
        <v>0</v>
      </c>
      <c r="J13" s="2" t="s">
        <v>15</v>
      </c>
      <c r="K13" s="4">
        <v>1</v>
      </c>
    </row>
    <row r="14" spans="1:11">
      <c r="A14" s="2">
        <v>42</v>
      </c>
      <c r="B14" s="2" t="s">
        <v>14</v>
      </c>
      <c r="C14" s="2" t="s">
        <v>17</v>
      </c>
      <c r="D14" s="2" t="s">
        <v>14</v>
      </c>
      <c r="E14" s="2" t="s">
        <v>14</v>
      </c>
      <c r="F14" s="2" t="s">
        <v>15</v>
      </c>
      <c r="G14" s="3">
        <v>9.6000000000000002E-2</v>
      </c>
      <c r="H14" s="3">
        <v>0</v>
      </c>
      <c r="I14" s="3">
        <v>0</v>
      </c>
      <c r="J14" s="2" t="s">
        <v>15</v>
      </c>
      <c r="K14" s="4">
        <v>1</v>
      </c>
    </row>
    <row r="15" spans="1:11">
      <c r="A15" s="2">
        <v>63</v>
      </c>
      <c r="B15" s="2" t="s">
        <v>16</v>
      </c>
      <c r="C15" s="2" t="s">
        <v>14</v>
      </c>
      <c r="D15" s="2" t="s">
        <v>16</v>
      </c>
      <c r="E15" s="2" t="s">
        <v>16</v>
      </c>
      <c r="F15" s="2" t="s">
        <v>18</v>
      </c>
      <c r="G15" s="3">
        <v>0</v>
      </c>
      <c r="H15" s="3">
        <v>5.0773333333333339E-4</v>
      </c>
      <c r="I15" s="3">
        <v>9.1540959999999977E-2</v>
      </c>
      <c r="J15" s="2" t="s">
        <v>18</v>
      </c>
      <c r="K15" s="4">
        <v>1</v>
      </c>
    </row>
    <row r="16" spans="1:11">
      <c r="A16" s="2">
        <v>69</v>
      </c>
      <c r="B16" s="2" t="s">
        <v>16</v>
      </c>
      <c r="C16" s="2" t="s">
        <v>16</v>
      </c>
      <c r="D16" s="2" t="s">
        <v>16</v>
      </c>
      <c r="E16" s="2" t="s">
        <v>16</v>
      </c>
      <c r="F16" s="2" t="s">
        <v>18</v>
      </c>
      <c r="G16" s="3">
        <v>0</v>
      </c>
      <c r="H16" s="3">
        <v>2.986666666666667E-5</v>
      </c>
      <c r="I16" s="3">
        <v>3.4872746666666662E-2</v>
      </c>
      <c r="J16" s="2" t="s">
        <v>18</v>
      </c>
      <c r="K16" s="4">
        <v>1</v>
      </c>
    </row>
    <row r="17" spans="1:11">
      <c r="A17" s="2">
        <v>86</v>
      </c>
      <c r="B17" s="2" t="s">
        <v>16</v>
      </c>
      <c r="C17" s="2" t="s">
        <v>17</v>
      </c>
      <c r="D17" s="2" t="s">
        <v>16</v>
      </c>
      <c r="E17" s="2" t="s">
        <v>16</v>
      </c>
      <c r="F17" s="2" t="s">
        <v>18</v>
      </c>
      <c r="G17" s="3">
        <v>0</v>
      </c>
      <c r="H17" s="3">
        <v>2.0906666666666674E-4</v>
      </c>
      <c r="I17" s="3">
        <v>9.1540959999999977E-2</v>
      </c>
      <c r="J17" s="2" t="s">
        <v>18</v>
      </c>
      <c r="K17" s="4">
        <v>1</v>
      </c>
    </row>
    <row r="18" spans="1:11">
      <c r="A18" s="2">
        <v>87</v>
      </c>
      <c r="B18" s="2" t="s">
        <v>16</v>
      </c>
      <c r="C18" s="2" t="s">
        <v>17</v>
      </c>
      <c r="D18" s="2" t="s">
        <v>16</v>
      </c>
      <c r="E18" s="2" t="s">
        <v>16</v>
      </c>
      <c r="F18" s="2" t="s">
        <v>18</v>
      </c>
      <c r="G18" s="3">
        <v>0</v>
      </c>
      <c r="H18" s="3">
        <v>2.0906666666666674E-4</v>
      </c>
      <c r="I18" s="3">
        <v>9.1540959999999977E-2</v>
      </c>
      <c r="J18" s="2" t="s">
        <v>18</v>
      </c>
      <c r="K18" s="4">
        <v>1</v>
      </c>
    </row>
    <row r="19" spans="1:11">
      <c r="A19" s="2">
        <v>88</v>
      </c>
      <c r="B19" s="2" t="s">
        <v>16</v>
      </c>
      <c r="C19" s="2" t="s">
        <v>17</v>
      </c>
      <c r="D19" s="2" t="s">
        <v>16</v>
      </c>
      <c r="E19" s="2" t="s">
        <v>16</v>
      </c>
      <c r="F19" s="2" t="s">
        <v>18</v>
      </c>
      <c r="G19" s="3">
        <v>0</v>
      </c>
      <c r="H19" s="3">
        <v>2.0906666666666674E-4</v>
      </c>
      <c r="I19" s="3">
        <v>9.1540959999999977E-2</v>
      </c>
      <c r="J19" s="2" t="s">
        <v>18</v>
      </c>
      <c r="K19" s="4">
        <v>1</v>
      </c>
    </row>
    <row r="20" spans="1:11">
      <c r="A20" s="2">
        <v>97</v>
      </c>
      <c r="B20" s="2" t="s">
        <v>16</v>
      </c>
      <c r="C20" s="2" t="s">
        <v>14</v>
      </c>
      <c r="D20" s="2" t="s">
        <v>17</v>
      </c>
      <c r="E20" s="2" t="s">
        <v>17</v>
      </c>
      <c r="F20" s="2" t="s">
        <v>19</v>
      </c>
      <c r="G20" s="3">
        <v>0</v>
      </c>
      <c r="H20" s="3">
        <v>5.1408000000000002E-2</v>
      </c>
      <c r="I20" s="3">
        <v>3.7295999999999987E-4</v>
      </c>
      <c r="J20" s="2" t="s">
        <v>19</v>
      </c>
      <c r="K20" s="4">
        <v>1</v>
      </c>
    </row>
    <row r="21" spans="1:11">
      <c r="A21" s="2">
        <v>98</v>
      </c>
      <c r="B21" s="2" t="s">
        <v>16</v>
      </c>
      <c r="C21" s="2" t="s">
        <v>17</v>
      </c>
      <c r="D21" s="2" t="s">
        <v>16</v>
      </c>
      <c r="E21" s="2" t="s">
        <v>17</v>
      </c>
      <c r="F21" s="2" t="s">
        <v>19</v>
      </c>
      <c r="G21" s="3">
        <v>0</v>
      </c>
      <c r="H21" s="3">
        <v>1.8816000000000006E-3</v>
      </c>
      <c r="I21" s="3">
        <v>5.843039999999999E-3</v>
      </c>
      <c r="J21" s="2" t="s">
        <v>18</v>
      </c>
      <c r="K21" s="4">
        <v>0</v>
      </c>
    </row>
    <row r="22" spans="1:11">
      <c r="A22" s="2">
        <v>105</v>
      </c>
      <c r="B22" s="2" t="s">
        <v>17</v>
      </c>
      <c r="C22" s="2" t="s">
        <v>16</v>
      </c>
      <c r="D22" s="2" t="s">
        <v>14</v>
      </c>
      <c r="E22" s="2" t="s">
        <v>14</v>
      </c>
      <c r="F22" s="2" t="s">
        <v>15</v>
      </c>
      <c r="G22" s="3">
        <v>2.1333333333333333E-2</v>
      </c>
      <c r="H22" s="3">
        <v>0</v>
      </c>
      <c r="I22" s="3">
        <v>0</v>
      </c>
      <c r="J22" s="2" t="s">
        <v>15</v>
      </c>
      <c r="K22" s="4">
        <v>1</v>
      </c>
    </row>
    <row r="23" spans="1:11">
      <c r="A23" s="2">
        <v>112</v>
      </c>
      <c r="B23" s="2" t="s">
        <v>17</v>
      </c>
      <c r="C23" s="2" t="s">
        <v>14</v>
      </c>
      <c r="D23" s="2" t="s">
        <v>16</v>
      </c>
      <c r="E23" s="2" t="s">
        <v>16</v>
      </c>
      <c r="F23" s="2" t="s">
        <v>18</v>
      </c>
      <c r="G23" s="3">
        <v>0</v>
      </c>
      <c r="H23" s="3">
        <v>1.0880000000000002E-3</v>
      </c>
      <c r="I23" s="3">
        <v>2.9688959999999986E-2</v>
      </c>
      <c r="J23" s="2" t="s">
        <v>18</v>
      </c>
      <c r="K23" s="4">
        <v>1</v>
      </c>
    </row>
    <row r="24" spans="1:11">
      <c r="A24" s="2">
        <v>138</v>
      </c>
      <c r="B24" s="2" t="s">
        <v>17</v>
      </c>
      <c r="C24" s="2" t="s">
        <v>14</v>
      </c>
      <c r="D24" s="2" t="s">
        <v>17</v>
      </c>
      <c r="E24" s="2" t="s">
        <v>17</v>
      </c>
      <c r="F24" s="2" t="s">
        <v>19</v>
      </c>
      <c r="G24" s="3">
        <v>0</v>
      </c>
      <c r="H24" s="3">
        <v>0.11016000000000001</v>
      </c>
      <c r="I24" s="3">
        <v>1.2095999999999997E-4</v>
      </c>
      <c r="J24" s="2" t="s">
        <v>19</v>
      </c>
      <c r="K24" s="4">
        <v>1</v>
      </c>
    </row>
    <row r="25" spans="1:11">
      <c r="A25" s="2">
        <v>144</v>
      </c>
      <c r="B25" s="2" t="s">
        <v>17</v>
      </c>
      <c r="C25" s="2" t="s">
        <v>14</v>
      </c>
      <c r="D25" s="2" t="s">
        <v>17</v>
      </c>
      <c r="E25" s="2" t="s">
        <v>17</v>
      </c>
      <c r="F25" s="2" t="s">
        <v>19</v>
      </c>
      <c r="G25" s="3">
        <v>0</v>
      </c>
      <c r="H25" s="3">
        <v>0.11016000000000001</v>
      </c>
      <c r="I25" s="3">
        <v>1.2095999999999997E-4</v>
      </c>
      <c r="J25" s="2" t="s">
        <v>19</v>
      </c>
      <c r="K25" s="4">
        <v>1</v>
      </c>
    </row>
    <row r="27" spans="1:11">
      <c r="A27" s="11" t="s">
        <v>20</v>
      </c>
      <c r="B27" s="11"/>
      <c r="C27" s="11"/>
      <c r="D27" s="11"/>
      <c r="E27" s="11"/>
      <c r="F27" s="11"/>
      <c r="G27" s="5">
        <f>SUM(K6:K25)/COUNT(K6:K25)</f>
        <v>0.95</v>
      </c>
      <c r="H27" s="11" t="str">
        <f>"Aciertos: "&amp;SUM(K6:K25)&amp;" de "&amp;COUNT(K6:K25)</f>
        <v>Aciertos: 19 de 20</v>
      </c>
      <c r="I27" s="11"/>
      <c r="J27" s="11"/>
      <c r="K27" s="11"/>
    </row>
    <row r="30" spans="1:11" ht="24" customHeight="1">
      <c r="A30" s="7" t="s">
        <v>21</v>
      </c>
      <c r="B30" s="7"/>
      <c r="C30" s="7"/>
      <c r="D30" s="7"/>
    </row>
    <row r="31" spans="1:11" ht="27.6">
      <c r="A31" s="1" t="s">
        <v>22</v>
      </c>
      <c r="B31" s="1" t="s">
        <v>15</v>
      </c>
      <c r="C31" s="1" t="s">
        <v>18</v>
      </c>
      <c r="D31" s="1" t="s">
        <v>19</v>
      </c>
    </row>
    <row r="32" spans="1:11">
      <c r="A32" s="1" t="s">
        <v>15</v>
      </c>
      <c r="B32" s="6">
        <f t="shared" ref="B32:D34" si="0">COUNTIFS($J$6:$J$25,$A32,$F$6:$F$25,B$31)</f>
        <v>10</v>
      </c>
      <c r="C32" s="6">
        <f t="shared" si="0"/>
        <v>0</v>
      </c>
      <c r="D32" s="6">
        <f t="shared" si="0"/>
        <v>0</v>
      </c>
    </row>
    <row r="33" spans="1:11">
      <c r="A33" s="1" t="s">
        <v>18</v>
      </c>
      <c r="B33" s="6">
        <f t="shared" si="0"/>
        <v>0</v>
      </c>
      <c r="C33" s="6">
        <f t="shared" si="0"/>
        <v>6</v>
      </c>
      <c r="D33" s="6">
        <f t="shared" si="0"/>
        <v>1</v>
      </c>
    </row>
    <row r="34" spans="1:11">
      <c r="A34" s="1" t="s">
        <v>19</v>
      </c>
      <c r="B34" s="6">
        <f t="shared" si="0"/>
        <v>0</v>
      </c>
      <c r="C34" s="6">
        <f t="shared" si="0"/>
        <v>0</v>
      </c>
      <c r="D34" s="6">
        <f t="shared" si="0"/>
        <v>3</v>
      </c>
    </row>
    <row r="37" spans="1:11" ht="14.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</row>
  </sheetData>
  <mergeCells count="7">
    <mergeCell ref="A30:D30"/>
    <mergeCell ref="A37:K37"/>
    <mergeCell ref="A1:K1"/>
    <mergeCell ref="A2:K2"/>
    <mergeCell ref="A3:K3"/>
    <mergeCell ref="A27:F27"/>
    <mergeCell ref="H27:K27"/>
  </mergeCells>
  <conditionalFormatting sqref="A6:K25">
    <cfRule type="expression" dxfId="0" priority="1">
      <formula>$K6=0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matriz_confusion_pt7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Raul covarrubias</cp:lastModifiedBy>
  <dcterms:created xsi:type="dcterms:W3CDTF">2026-09-03T01:03:34Z</dcterms:created>
  <dcterms:modified xsi:type="dcterms:W3CDTF">2026-09-03T01:03:34Z</dcterms:modified>
</cp:coreProperties>
</file>